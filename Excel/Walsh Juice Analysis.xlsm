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0"/>
  <workbookPr defaultThemeVersion="202300"/>
  <mc:AlternateContent xmlns:mc="http://schemas.openxmlformats.org/markup-compatibility/2006">
    <mc:Choice Requires="x15">
      <x15ac:absPath xmlns:x15ac="http://schemas.microsoft.com/office/spreadsheetml/2010/11/ac" url="/Users/liana/Desktop/"/>
    </mc:Choice>
  </mc:AlternateContent>
  <xr:revisionPtr revIDLastSave="0" documentId="13_ncr:1_{5C0E3790-1ECA-2B43-81B0-0086901DE69B}" xr6:coauthVersionLast="47" xr6:coauthVersionMax="47" xr10:uidLastSave="{00000000-0000-0000-0000-000000000000}"/>
  <bookViews>
    <workbookView xWindow="0" yWindow="500" windowWidth="28800" windowHeight="16380" firstSheet="7" activeTab="12" xr2:uid="{12F49280-DF9B-A44C-8159-7A933EC3D619}"/>
  </bookViews>
  <sheets>
    <sheet name="Objective and Constraints" sheetId="16" r:id="rId1"/>
    <sheet name="Model A" sheetId="11" r:id="rId2"/>
    <sheet name="Sensitivity Report A" sheetId="28" r:id="rId3"/>
    <sheet name=" Answer Report A" sheetId="14" r:id="rId4"/>
    <sheet name="Model B" sheetId="17" r:id="rId5"/>
    <sheet name="Answer Report B" sheetId="23" r:id="rId6"/>
    <sheet name="Analysis Answer Report 1" sheetId="18" r:id="rId7"/>
    <sheet name="Analysis Answer Report 2" sheetId="19" r:id="rId8"/>
    <sheet name="Analysis Answer Report 3" sheetId="20" r:id="rId9"/>
    <sheet name="Analysis Answer Report 4" sheetId="21" r:id="rId10"/>
    <sheet name="Analysis Answer Report 5" sheetId="22" r:id="rId11"/>
    <sheet name="Analysis Answer Report 6" sheetId="25" r:id="rId12"/>
    <sheet name="Graph" sheetId="31" r:id="rId13"/>
  </sheets>
  <definedNames>
    <definedName name="solver_adj" localSheetId="1" hidden="1">'Model A'!$B$12:$E$14,'Model A'!$J$18:$M$20</definedName>
    <definedName name="solver_adj" localSheetId="4" hidden="1">'Model B'!$B$12:$E$14,'Model B'!$J$18:$M$20</definedName>
    <definedName name="solver_cvg" localSheetId="1" hidden="1">0.0001</definedName>
    <definedName name="solver_cvg" localSheetId="4" hidden="1">0.0001</definedName>
    <definedName name="solver_drv" localSheetId="1" hidden="1">1</definedName>
    <definedName name="solver_drv" localSheetId="4" hidden="1">1</definedName>
    <definedName name="solver_eng" localSheetId="1" hidden="1">2</definedName>
    <definedName name="solver_eng" localSheetId="4" hidden="1">2</definedName>
    <definedName name="solver_est" localSheetId="1" hidden="1">1</definedName>
    <definedName name="solver_itr" localSheetId="1" hidden="1">2147483647</definedName>
    <definedName name="solver_itr" localSheetId="4" hidden="1">2147483647</definedName>
    <definedName name="solver_lhs1" localSheetId="1" hidden="1">'Model A'!$B$16:$E$16</definedName>
    <definedName name="solver_lhs1" localSheetId="4" hidden="1">'Model B'!$B$16:$E$16</definedName>
    <definedName name="solver_lhs2" localSheetId="1" hidden="1">'Model A'!$G$12:$G$14</definedName>
    <definedName name="solver_lhs2" localSheetId="4" hidden="1">'Model B'!$G$12:$G$14</definedName>
    <definedName name="solver_lhs3" localSheetId="1" hidden="1">'Model A'!$J$21:$M$21</definedName>
    <definedName name="solver_lhs3" localSheetId="4" hidden="1">'Model B'!$J$22:$M$22</definedName>
    <definedName name="solver_lhs4" localSheetId="1" hidden="1">'Model A'!$O$18:$O$20</definedName>
    <definedName name="solver_lhs4" localSheetId="4" hidden="1">'Model B'!$O$18:$O$20</definedName>
    <definedName name="solver_lhs5" localSheetId="1" hidden="1">'Model A'!$O$18:$O$20</definedName>
    <definedName name="solver_lin" localSheetId="1" hidden="1">1</definedName>
    <definedName name="solver_lin" localSheetId="4" hidden="1">1</definedName>
    <definedName name="solver_mip" localSheetId="1" hidden="1">2147483647</definedName>
    <definedName name="solver_mip" localSheetId="4" hidden="1">2147483647</definedName>
    <definedName name="solver_mni" localSheetId="1" hidden="1">30</definedName>
    <definedName name="solver_mni" localSheetId="4" hidden="1">30</definedName>
    <definedName name="solver_mrt" localSheetId="1" hidden="1">0.075</definedName>
    <definedName name="solver_mrt" localSheetId="4" hidden="1">0.075</definedName>
    <definedName name="solver_msl" localSheetId="1" hidden="1">2</definedName>
    <definedName name="solver_msl" localSheetId="4" hidden="1">2</definedName>
    <definedName name="solver_neg" localSheetId="1" hidden="1">1</definedName>
    <definedName name="solver_neg" localSheetId="4" hidden="1">1</definedName>
    <definedName name="solver_nod" localSheetId="1" hidden="1">2147483647</definedName>
    <definedName name="solver_nod" localSheetId="4" hidden="1">2147483647</definedName>
    <definedName name="solver_num" localSheetId="1" hidden="1">4</definedName>
    <definedName name="solver_num" localSheetId="4" hidden="1">4</definedName>
    <definedName name="solver_nwt" localSheetId="1" hidden="1">1</definedName>
    <definedName name="solver_opt" localSheetId="1" hidden="1">'Model A'!$B$22</definedName>
    <definedName name="solver_opt" localSheetId="4" hidden="1">'Model B'!$B$22</definedName>
    <definedName name="solver_pre" localSheetId="1" hidden="1">0.000001</definedName>
    <definedName name="solver_pre" localSheetId="4" hidden="1">0.000001</definedName>
    <definedName name="solver_rbv" localSheetId="1" hidden="1">1</definedName>
    <definedName name="solver_rbv" localSheetId="4" hidden="1">1</definedName>
    <definedName name="solver_rel1" localSheetId="1" hidden="1">1</definedName>
    <definedName name="solver_rel1" localSheetId="4" hidden="1">1</definedName>
    <definedName name="solver_rel2" localSheetId="1" hidden="1">1</definedName>
    <definedName name="solver_rel2" localSheetId="4" hidden="1">1</definedName>
    <definedName name="solver_rel3" localSheetId="1" hidden="1">2</definedName>
    <definedName name="solver_rel3" localSheetId="4" hidden="1">1</definedName>
    <definedName name="solver_rel4" localSheetId="1" hidden="1">2</definedName>
    <definedName name="solver_rel4" localSheetId="4" hidden="1">2</definedName>
    <definedName name="solver_rel5" localSheetId="1" hidden="1">2</definedName>
    <definedName name="solver_rhs1" localSheetId="1" hidden="1">'Model A'!$B$15:$E$15</definedName>
    <definedName name="solver_rhs1" localSheetId="4" hidden="1">'Model B'!$B$15:$E$15</definedName>
    <definedName name="solver_rhs2" localSheetId="1" hidden="1">'Model A'!$F$12:$F$14</definedName>
    <definedName name="solver_rhs2" localSheetId="4" hidden="1">'Model B'!$F$12:$F$14</definedName>
    <definedName name="solver_rhs3" localSheetId="1" hidden="1">'Model A'!$J$22:$M$22</definedName>
    <definedName name="solver_rhs3" localSheetId="4" hidden="1">'Model B'!$J$21:$M$21</definedName>
    <definedName name="solver_rhs4" localSheetId="1" hidden="1">'Model A'!$N$18:$N$20</definedName>
    <definedName name="solver_rhs4" localSheetId="4" hidden="1">'Model B'!$N$18:$N$20</definedName>
    <definedName name="solver_rhs5" localSheetId="1" hidden="1">'Model A'!$N$18:$N$20</definedName>
    <definedName name="solver_rlx" localSheetId="1" hidden="1">1</definedName>
    <definedName name="solver_rlx" localSheetId="4" hidden="1">1</definedName>
    <definedName name="solver_rsd" localSheetId="1" hidden="1">0</definedName>
    <definedName name="solver_rsd" localSheetId="4" hidden="1">0</definedName>
    <definedName name="solver_scl" localSheetId="1" hidden="1">2</definedName>
    <definedName name="solver_scl" localSheetId="4" hidden="1">2</definedName>
    <definedName name="solver_sho" localSheetId="1" hidden="1">2</definedName>
    <definedName name="solver_sho" localSheetId="4" hidden="1">2</definedName>
    <definedName name="solver_ssz" localSheetId="1" hidden="1">100</definedName>
    <definedName name="solver_ssz" localSheetId="4" hidden="1">100</definedName>
    <definedName name="solver_tim" localSheetId="1" hidden="1">2147483647</definedName>
    <definedName name="solver_tim" localSheetId="4" hidden="1">2147483647</definedName>
    <definedName name="solver_tol" localSheetId="1" hidden="1">0.01</definedName>
    <definedName name="solver_tol" localSheetId="4" hidden="1">0.01</definedName>
    <definedName name="solver_typ" localSheetId="1" hidden="1">2</definedName>
    <definedName name="solver_typ" localSheetId="4" hidden="1">2</definedName>
    <definedName name="solver_val" localSheetId="1" hidden="1">0</definedName>
    <definedName name="solver_val" localSheetId="4" hidden="1">0</definedName>
    <definedName name="solver_ver" localSheetId="1" hidden="1">3</definedName>
    <definedName name="solver_ver" localSheetId="4" hidden="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2" i="17" l="1"/>
  <c r="L22" i="17"/>
  <c r="K22" i="17"/>
  <c r="J22" i="17"/>
  <c r="B22" i="17"/>
  <c r="O20" i="17"/>
  <c r="B20" i="17"/>
  <c r="O19" i="17"/>
  <c r="B19" i="17"/>
  <c r="O18" i="17"/>
  <c r="E16" i="17"/>
  <c r="M21" i="17" s="1"/>
  <c r="D16" i="17"/>
  <c r="L21" i="17" s="1"/>
  <c r="C16" i="17"/>
  <c r="K21" i="17" s="1"/>
  <c r="B16" i="17"/>
  <c r="J21" i="17" s="1"/>
  <c r="G14" i="17"/>
  <c r="G13" i="17"/>
  <c r="G12" i="17"/>
  <c r="B19" i="11"/>
  <c r="O18" i="11"/>
  <c r="J22" i="11"/>
  <c r="B22" i="11" l="1"/>
  <c r="B20" i="11"/>
  <c r="M22" i="11"/>
  <c r="L22" i="11"/>
  <c r="K22" i="11"/>
  <c r="O19" i="11"/>
  <c r="O20" i="11"/>
  <c r="B16" i="11" l="1"/>
  <c r="J21" i="11" s="1"/>
  <c r="E16" i="11"/>
  <c r="M21" i="11" s="1"/>
  <c r="D16" i="11"/>
  <c r="L21" i="11" s="1"/>
  <c r="C16" i="11"/>
  <c r="K21" i="11" s="1"/>
  <c r="G14" i="11"/>
  <c r="G13" i="11"/>
  <c r="G12" i="11"/>
</calcChain>
</file>

<file path=xl/sharedStrings.xml><?xml version="1.0" encoding="utf-8"?>
<sst xmlns="http://schemas.openxmlformats.org/spreadsheetml/2006/main" count="1520" uniqueCount="209">
  <si>
    <t>Shipping Costs</t>
  </si>
  <si>
    <t>Vineyards</t>
  </si>
  <si>
    <t>Plant</t>
  </si>
  <si>
    <t>*Shipping cost is per ton</t>
  </si>
  <si>
    <t>Processing Costs</t>
  </si>
  <si>
    <t>Products</t>
  </si>
  <si>
    <t>*Processing cost is per ton</t>
  </si>
  <si>
    <t>1. New York</t>
  </si>
  <si>
    <t>2. Pennsylvania</t>
  </si>
  <si>
    <t>3. Ohio</t>
  </si>
  <si>
    <t>4. Virginia</t>
  </si>
  <si>
    <t>5. Michigan</t>
  </si>
  <si>
    <t>6. Tennessee</t>
  </si>
  <si>
    <t>7. Indiana</t>
  </si>
  <si>
    <t>Supplies Shipped</t>
  </si>
  <si>
    <t>Capacity</t>
  </si>
  <si>
    <t>Received</t>
  </si>
  <si>
    <t>Available</t>
  </si>
  <si>
    <t>Shipped</t>
  </si>
  <si>
    <t>Total Cost</t>
  </si>
  <si>
    <t>Product Demand</t>
  </si>
  <si>
    <t>Products Produced</t>
  </si>
  <si>
    <t xml:space="preserve"> </t>
  </si>
  <si>
    <t>Juice Needed to Meet Demand</t>
  </si>
  <si>
    <t>Microsoft Excel 16.96 Answer Report</t>
  </si>
  <si>
    <t>Result: Solver found a solution.  All constraints and optimality conditions are satisfied.</t>
  </si>
  <si>
    <t>Solver Engine</t>
  </si>
  <si>
    <t>Engine: Simplex LP</t>
  </si>
  <si>
    <t>Solver Options</t>
  </si>
  <si>
    <t>Max Time Unlimited, Iterations Unlimited, Precision 0.000001</t>
  </si>
  <si>
    <t>Objective Cell (Min)</t>
  </si>
  <si>
    <t>Cell</t>
  </si>
  <si>
    <t>Name</t>
  </si>
  <si>
    <t>Original Value</t>
  </si>
  <si>
    <t>Final Value</t>
  </si>
  <si>
    <t>Variable Cells</t>
  </si>
  <si>
    <t>Integer</t>
  </si>
  <si>
    <t>Constraints</t>
  </si>
  <si>
    <t>Cell Value</t>
  </si>
  <si>
    <t>Formula</t>
  </si>
  <si>
    <t>Status</t>
  </si>
  <si>
    <t>Slack</t>
  </si>
  <si>
    <t>Total Cost 4. Virginia</t>
  </si>
  <si>
    <t>$C$14</t>
  </si>
  <si>
    <t>1. New York 4. Virginia</t>
  </si>
  <si>
    <t>Contin</t>
  </si>
  <si>
    <t>$D$14</t>
  </si>
  <si>
    <t>1. New York 5. Michigan</t>
  </si>
  <si>
    <t>$E$14</t>
  </si>
  <si>
    <t>1. New York 6. Tennessee</t>
  </si>
  <si>
    <t>1. New York 7. Indiana</t>
  </si>
  <si>
    <t>2. Pennsylvania 4. Virginia</t>
  </si>
  <si>
    <t>2. Pennsylvania 5. Michigan</t>
  </si>
  <si>
    <t>2. Pennsylvania 6. Tennessee</t>
  </si>
  <si>
    <t>2. Pennsylvania 7. Indiana</t>
  </si>
  <si>
    <t>$C$16</t>
  </si>
  <si>
    <t>3. Ohio 4. Virginia</t>
  </si>
  <si>
    <t>$D$16</t>
  </si>
  <si>
    <t>3. Ohio 5. Michigan</t>
  </si>
  <si>
    <t>$E$16</t>
  </si>
  <si>
    <t>3. Ohio 6. Tennessee</t>
  </si>
  <si>
    <t>3. Ohio 7. Indiana</t>
  </si>
  <si>
    <t>Received 4. Virginia</t>
  </si>
  <si>
    <t>Not Binding</t>
  </si>
  <si>
    <t>Received 5. Michigan</t>
  </si>
  <si>
    <t>Binding</t>
  </si>
  <si>
    <t>Received 6. Tennessee</t>
  </si>
  <si>
    <t>Received 7. Indiana</t>
  </si>
  <si>
    <t>1. New York Shipped</t>
  </si>
  <si>
    <t>2. Pennsylvania Shipped</t>
  </si>
  <si>
    <t>3. Ohio Shipped</t>
  </si>
  <si>
    <t xml:space="preserve">Unprocessed Juice Received </t>
  </si>
  <si>
    <t>1. Juice 4. Virginia</t>
  </si>
  <si>
    <t>1. Juice 5. Michigan</t>
  </si>
  <si>
    <t>1. Juice 6. Tennessee</t>
  </si>
  <si>
    <t>1. Juice 7. Indiana</t>
  </si>
  <si>
    <t>2. Concentrate 4. Virginia</t>
  </si>
  <si>
    <t>2. Concentrate 5. Michigan</t>
  </si>
  <si>
    <t>2. Concentrate 6. Tennessee</t>
  </si>
  <si>
    <t>2. Concentrate 7. Indiana</t>
  </si>
  <si>
    <t>3. Jelly 4. Virginia</t>
  </si>
  <si>
    <t>3. Jelly 5. Michigan</t>
  </si>
  <si>
    <t>3. Jelly 6. Tennessee</t>
  </si>
  <si>
    <t>3. Jelly 7. Indiana</t>
  </si>
  <si>
    <t>Final</t>
  </si>
  <si>
    <t>Value</t>
  </si>
  <si>
    <t>Reduced</t>
  </si>
  <si>
    <t>Cost</t>
  </si>
  <si>
    <t>Objective</t>
  </si>
  <si>
    <t>Coefficient</t>
  </si>
  <si>
    <t>Allowable</t>
  </si>
  <si>
    <t>Increase</t>
  </si>
  <si>
    <t>Decrease</t>
  </si>
  <si>
    <t>Shadow</t>
  </si>
  <si>
    <t>Price</t>
  </si>
  <si>
    <t>Constraint</t>
  </si>
  <si>
    <t>R.H. Side</t>
  </si>
  <si>
    <t>Shipping Cost</t>
  </si>
  <si>
    <t>Processing Cost</t>
  </si>
  <si>
    <t>Worksheet: [Case Study 1.xlsx]Case 1 Model</t>
  </si>
  <si>
    <t>Iterations: 21 Subproblems: 0</t>
  </si>
  <si>
    <t>Max Subproblems Unlimited, Max Integer Sols Unlimited, Integer Tolerance 1%, Solve Without Integer Constraints, Assume NonNegative</t>
  </si>
  <si>
    <t>$B$22</t>
  </si>
  <si>
    <t>$B$12</t>
  </si>
  <si>
    <t>$C$12</t>
  </si>
  <si>
    <t>$D$12</t>
  </si>
  <si>
    <t>$E$12</t>
  </si>
  <si>
    <t>$B$13</t>
  </si>
  <si>
    <t>$C$13</t>
  </si>
  <si>
    <t>$D$13</t>
  </si>
  <si>
    <t>$E$13</t>
  </si>
  <si>
    <t>$B$14</t>
  </si>
  <si>
    <t>$J$18</t>
  </si>
  <si>
    <t>$K$18</t>
  </si>
  <si>
    <t>$L$18</t>
  </si>
  <si>
    <t>$M$18</t>
  </si>
  <si>
    <t>$J$19</t>
  </si>
  <si>
    <t>$K$19</t>
  </si>
  <si>
    <t>$L$19</t>
  </si>
  <si>
    <t>$M$19</t>
  </si>
  <si>
    <t>$J$20</t>
  </si>
  <si>
    <t>$K$20</t>
  </si>
  <si>
    <t>$L$20</t>
  </si>
  <si>
    <t>$M$20</t>
  </si>
  <si>
    <t>$B$16</t>
  </si>
  <si>
    <t>$B$16&lt;=$B$15</t>
  </si>
  <si>
    <t>$C$16&lt;=$C$15</t>
  </si>
  <si>
    <t>$D$16&lt;=$D$15</t>
  </si>
  <si>
    <t>$E$16&lt;=$E$15</t>
  </si>
  <si>
    <t>$G$12</t>
  </si>
  <si>
    <t>$G$12&lt;=$F$12</t>
  </si>
  <si>
    <t>$G$13</t>
  </si>
  <si>
    <t>$G$13&lt;=$F$13</t>
  </si>
  <si>
    <t>$G$14</t>
  </si>
  <si>
    <t>$G$14&lt;=$F$14</t>
  </si>
  <si>
    <t>$J$22</t>
  </si>
  <si>
    <t>$J$22&lt;=$J$21</t>
  </si>
  <si>
    <t>$K$22</t>
  </si>
  <si>
    <t>$K$22&lt;=$K$21</t>
  </si>
  <si>
    <t>$L$22</t>
  </si>
  <si>
    <t>$L$22&lt;=$L$21</t>
  </si>
  <si>
    <t>$M$22</t>
  </si>
  <si>
    <t>$M$22&lt;=$M$21</t>
  </si>
  <si>
    <t>$O$18</t>
  </si>
  <si>
    <t>$O$19</t>
  </si>
  <si>
    <t>$O$20</t>
  </si>
  <si>
    <t>Unprocessed Juice Needed</t>
  </si>
  <si>
    <t>Report Created: 4/29/25 1:41:06 PM</t>
  </si>
  <si>
    <t>Solution Time: 214.381 Seconds.</t>
  </si>
  <si>
    <t>Unprocessed Juice Needed 4. Virginia</t>
  </si>
  <si>
    <t>Unprocessed Juice Needed 5. Michigan</t>
  </si>
  <si>
    <t>Unprocessed Juice Needed 6. Tennessee</t>
  </si>
  <si>
    <t>Unprocessed Juice Needed 7. Indiana</t>
  </si>
  <si>
    <t>1. Juice Produc Made</t>
  </si>
  <si>
    <t>$O$18=$N$18</t>
  </si>
  <si>
    <t>2. Concentrate Produc Made</t>
  </si>
  <si>
    <t>$O$19=$N$19</t>
  </si>
  <si>
    <t>3. Jelly Produc Made</t>
  </si>
  <si>
    <t>$O$20=$N$20</t>
  </si>
  <si>
    <t>Product Made</t>
  </si>
  <si>
    <t>A. Juice</t>
  </si>
  <si>
    <t>B. Concentrate</t>
  </si>
  <si>
    <t>C. Jelly</t>
  </si>
  <si>
    <t>Worksheet: [Case Study 1.xlsx]Model (2)</t>
  </si>
  <si>
    <t>Report Created: 5/5/25 4:15:24 PM</t>
  </si>
  <si>
    <t>Solution Time: 233.589 Seconds.</t>
  </si>
  <si>
    <t>Iterations: 19 Subproblems: 0</t>
  </si>
  <si>
    <t>A. Juice 4. Virginia</t>
  </si>
  <si>
    <t>A. Juice 5. Michigan</t>
  </si>
  <si>
    <t>A. Juice 6. Tennessee</t>
  </si>
  <si>
    <t>A. Juice 7. Indiana</t>
  </si>
  <si>
    <t>B. Concentrate 4. Virginia</t>
  </si>
  <si>
    <t>B. Concentrate 5. Michigan</t>
  </si>
  <si>
    <t>B. Concentrate 6. Tennessee</t>
  </si>
  <si>
    <t>B. Concentrate 7. Indiana</t>
  </si>
  <si>
    <t>C. Jelly 4. Virginia</t>
  </si>
  <si>
    <t>C. Jelly 5. Michigan</t>
  </si>
  <si>
    <t>C. Jelly 6. Tennessee</t>
  </si>
  <si>
    <t>C. Jelly 7. Indiana</t>
  </si>
  <si>
    <t>A. Juice Product Made</t>
  </si>
  <si>
    <t>B. Concentrate Product Made</t>
  </si>
  <si>
    <t>C. Jelly Product Made</t>
  </si>
  <si>
    <t>Report Created: 5/5/25 4:16:01 PM</t>
  </si>
  <si>
    <t>Solution Time: 217.981 Seconds.</t>
  </si>
  <si>
    <t>Report Created: 5/5/25 4:17:00 PM</t>
  </si>
  <si>
    <t>Solution Time: 211.989 Seconds.</t>
  </si>
  <si>
    <t>Report Created: 5/5/25 4:18:32 PM</t>
  </si>
  <si>
    <t>Solution Time: 213.091 Seconds.</t>
  </si>
  <si>
    <t>Report Created: 5/5/25 4:19:13 PM</t>
  </si>
  <si>
    <t>Solution Time: 210.122 Seconds.</t>
  </si>
  <si>
    <t>Iterations: 23 Subproblems: 0</t>
  </si>
  <si>
    <t>Report Created: 5/5/25 4:19:39 PM</t>
  </si>
  <si>
    <t>Solution Time: 214.85 Seconds.</t>
  </si>
  <si>
    <t>Report Created: 5/5/25 4:35:12 PM</t>
  </si>
  <si>
    <t>Solution Time: 215.92 Seconds.</t>
  </si>
  <si>
    <t>Microsoft Excel 16.0 Sensitivity Report</t>
  </si>
  <si>
    <t>Worksheet: [Case Study 1 the group.xlsx]Model</t>
  </si>
  <si>
    <t>$J$21</t>
  </si>
  <si>
    <t>Unprocessed Juice Received  4. Virginia</t>
  </si>
  <si>
    <t>$K$21</t>
  </si>
  <si>
    <t>Unprocessed Juice Received  5. Michigan</t>
  </si>
  <si>
    <t>$L$21</t>
  </si>
  <si>
    <t>Unprocessed Juice Received  6. Tennessee</t>
  </si>
  <si>
    <t>$M$21</t>
  </si>
  <si>
    <t>Unprocessed Juice Received  7. Indiana</t>
  </si>
  <si>
    <t>Report Created: 5/5/2025 7:59:28 PM</t>
  </si>
  <si>
    <t>Graph</t>
  </si>
  <si>
    <t>Initial Model</t>
  </si>
  <si>
    <t>Adjusted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</si>
</sst>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9" x14ac:knownFonts="1">
    <font>
      <sz val="12"/>
      <color theme="1"/>
      <name val="Aptos Narrow"/>
      <family val="2"/>
      <scheme val="minor"/>
    </font>
    <font>
      <sz val="12"/>
      <color theme="1"/>
      <name val="Aptos Narrow"/>
      <family val="2"/>
      <scheme val="minor"/>
    </font>
    <font>
      <b/>
      <sz val="12"/>
      <color theme="1"/>
      <name val="Aptos Narrow"/>
      <family val="2"/>
      <scheme val="minor"/>
    </font>
    <font>
      <b/>
      <sz val="12"/>
      <color indexed="18"/>
      <name val="Aptos Narrow"/>
      <family val="2"/>
      <scheme val="minor"/>
    </font>
    <font>
      <sz val="16"/>
      <color theme="1"/>
      <name val="Aptos Narrow"/>
      <family val="2"/>
      <scheme val="minor"/>
    </font>
    <font>
      <b/>
      <sz val="16"/>
      <color theme="1"/>
      <name val="Aptos Narrow"/>
      <family val="2"/>
      <scheme val="minor"/>
    </font>
    <font>
      <sz val="16"/>
      <color rgb="FF000000"/>
      <name val="Aptos Narrow"/>
      <family val="2"/>
      <scheme val="minor"/>
    </font>
    <font>
      <sz val="16"/>
      <color rgb="FF000000"/>
      <name val="Times New Roman"/>
      <family val="1"/>
    </font>
    <font>
      <b/>
      <sz val="12"/>
      <color theme="1"/>
      <name val="Aptos Narrow"/>
      <scheme val="minor"/>
    </font>
  </fonts>
  <fills count="10">
    <fill>
      <patternFill patternType="none"/>
    </fill>
    <fill>
      <patternFill patternType="gray125"/>
    </fill>
    <fill>
      <patternFill patternType="solid">
        <fgColor theme="5"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3" tint="0.89999084444715716"/>
        <bgColor indexed="64"/>
      </patternFill>
    </fill>
    <fill>
      <patternFill patternType="solid">
        <fgColor theme="4" tint="0.59999389629810485"/>
        <bgColor indexed="64"/>
      </patternFill>
    </fill>
    <fill>
      <patternFill patternType="solid">
        <fgColor theme="5"/>
        <bgColor indexed="64"/>
      </patternFill>
    </fill>
    <fill>
      <patternFill patternType="solid">
        <fgColor theme="8" tint="0.39997558519241921"/>
        <bgColor indexed="6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medium">
        <color indexed="23"/>
      </top>
      <bottom/>
      <diagonal/>
    </border>
    <border>
      <left/>
      <right/>
      <top/>
      <bottom style="medium">
        <color indexed="23"/>
      </bottom>
      <diagonal/>
    </border>
    <border>
      <left/>
      <right/>
      <top style="medium">
        <color indexed="23"/>
      </top>
      <bottom style="medium">
        <color indexed="23"/>
      </bottom>
      <diagonal/>
    </border>
    <border>
      <left/>
      <right/>
      <top style="thin">
        <color indexed="23"/>
      </top>
      <bottom style="medium">
        <color indexed="23"/>
      </bottom>
      <diagonal/>
    </border>
    <border>
      <left/>
      <right/>
      <top style="thin">
        <color indexed="23"/>
      </top>
      <bottom/>
      <diagonal/>
    </border>
    <border>
      <left style="thin">
        <color indexed="64"/>
      </left>
      <right/>
      <top/>
      <bottom/>
      <diagonal/>
    </border>
  </borders>
  <cellStyleXfs count="2">
    <xf numFmtId="0" fontId="0" fillId="0" borderId="0"/>
    <xf numFmtId="44" fontId="1" fillId="0" borderId="0" applyFont="0" applyFill="0" applyBorder="0" applyAlignment="0" applyProtection="0"/>
  </cellStyleXfs>
  <cellXfs count="41">
    <xf numFmtId="0" fontId="0" fillId="0" borderId="0" xfId="0"/>
    <xf numFmtId="0" fontId="2" fillId="0" borderId="0" xfId="0" applyFont="1"/>
    <xf numFmtId="0" fontId="0" fillId="0" borderId="11" xfId="0" applyBorder="1"/>
    <xf numFmtId="0" fontId="3" fillId="0" borderId="10" xfId="0" applyFont="1" applyBorder="1" applyAlignment="1">
      <alignment horizontal="center"/>
    </xf>
    <xf numFmtId="0" fontId="0" fillId="0" borderId="12" xfId="0" applyBorder="1"/>
    <xf numFmtId="44" fontId="0" fillId="0" borderId="11" xfId="0" applyNumberFormat="1" applyBorder="1"/>
    <xf numFmtId="0" fontId="3" fillId="0" borderId="8" xfId="0" applyFont="1" applyBorder="1" applyAlignment="1">
      <alignment horizontal="center"/>
    </xf>
    <xf numFmtId="0" fontId="3" fillId="0" borderId="9" xfId="0" applyFont="1" applyBorder="1" applyAlignment="1">
      <alignment horizontal="center"/>
    </xf>
    <xf numFmtId="0" fontId="4" fillId="0" borderId="0" xfId="0" applyFont="1"/>
    <xf numFmtId="0" fontId="5" fillId="0" borderId="0" xfId="0" applyFont="1"/>
    <xf numFmtId="0" fontId="5" fillId="0" borderId="1" xfId="0" applyFont="1" applyBorder="1" applyAlignment="1">
      <alignment horizontal="center"/>
    </xf>
    <xf numFmtId="0" fontId="4" fillId="0" borderId="1" xfId="0" applyFont="1" applyBorder="1" applyAlignment="1">
      <alignment horizontal="center"/>
    </xf>
    <xf numFmtId="44" fontId="4" fillId="0" borderId="1" xfId="1" applyFont="1" applyBorder="1" applyAlignment="1">
      <alignment horizontal="center"/>
    </xf>
    <xf numFmtId="0" fontId="5" fillId="0" borderId="0" xfId="0" applyFont="1" applyAlignment="1">
      <alignment horizontal="center"/>
    </xf>
    <xf numFmtId="0" fontId="4" fillId="0" borderId="0" xfId="0" applyFont="1" applyAlignment="1">
      <alignment horizontal="center"/>
    </xf>
    <xf numFmtId="3" fontId="4" fillId="0" borderId="1" xfId="0" applyNumberFormat="1" applyFont="1" applyBorder="1" applyAlignment="1">
      <alignment horizontal="center"/>
    </xf>
    <xf numFmtId="3" fontId="4" fillId="0" borderId="0" xfId="0" applyNumberFormat="1" applyFont="1" applyAlignment="1">
      <alignment horizontal="center"/>
    </xf>
    <xf numFmtId="164" fontId="4" fillId="0" borderId="1" xfId="0" applyNumberFormat="1" applyFont="1" applyBorder="1" applyAlignment="1">
      <alignment horizontal="center"/>
    </xf>
    <xf numFmtId="3" fontId="4" fillId="0" borderId="1" xfId="0" applyNumberFormat="1" applyFont="1" applyBorder="1" applyAlignment="1">
      <alignment horizontal="center" vertical="center"/>
    </xf>
    <xf numFmtId="3" fontId="4" fillId="0" borderId="0" xfId="0" applyNumberFormat="1" applyFont="1"/>
    <xf numFmtId="0" fontId="4" fillId="0" borderId="1" xfId="0" applyFont="1" applyBorder="1" applyAlignment="1">
      <alignment horizontal="center" vertical="center"/>
    </xf>
    <xf numFmtId="0" fontId="5" fillId="2" borderId="1" xfId="0" applyFont="1" applyFill="1" applyBorder="1" applyAlignment="1">
      <alignment horizontal="center"/>
    </xf>
    <xf numFmtId="0" fontId="5" fillId="3" borderId="6" xfId="0" applyFont="1" applyFill="1" applyBorder="1" applyAlignment="1">
      <alignment horizontal="center"/>
    </xf>
    <xf numFmtId="0" fontId="5" fillId="3" borderId="2" xfId="0" applyFont="1" applyFill="1" applyBorder="1" applyAlignment="1">
      <alignment horizontal="center"/>
    </xf>
    <xf numFmtId="0" fontId="4" fillId="3" borderId="7" xfId="0" applyFont="1" applyFill="1" applyBorder="1" applyAlignment="1">
      <alignment horizontal="center"/>
    </xf>
    <xf numFmtId="0" fontId="4" fillId="3" borderId="4" xfId="0" applyFont="1" applyFill="1" applyBorder="1" applyAlignment="1">
      <alignment horizontal="center"/>
    </xf>
    <xf numFmtId="0" fontId="5" fillId="3" borderId="3" xfId="0" applyFont="1" applyFill="1" applyBorder="1" applyAlignment="1">
      <alignment horizontal="center"/>
    </xf>
    <xf numFmtId="0" fontId="5" fillId="4" borderId="1" xfId="0" applyFont="1" applyFill="1" applyBorder="1" applyAlignment="1">
      <alignment horizontal="center"/>
    </xf>
    <xf numFmtId="0" fontId="5" fillId="5" borderId="1" xfId="1" applyNumberFormat="1" applyFont="1" applyFill="1" applyBorder="1" applyAlignment="1">
      <alignment horizontal="center" vertical="center"/>
    </xf>
    <xf numFmtId="0" fontId="5" fillId="5" borderId="1" xfId="1" applyNumberFormat="1" applyFont="1" applyFill="1" applyBorder="1" applyAlignment="1">
      <alignment horizontal="center"/>
    </xf>
    <xf numFmtId="44" fontId="4" fillId="6" borderId="1" xfId="1" applyFont="1" applyFill="1" applyBorder="1"/>
    <xf numFmtId="44" fontId="4" fillId="6" borderId="1" xfId="1" applyFont="1" applyFill="1" applyBorder="1" applyAlignment="1">
      <alignment horizontal="center"/>
    </xf>
    <xf numFmtId="0" fontId="5" fillId="7" borderId="1" xfId="0" applyFont="1" applyFill="1" applyBorder="1" applyAlignment="1">
      <alignment horizontal="center"/>
    </xf>
    <xf numFmtId="0" fontId="5" fillId="8" borderId="1" xfId="0" applyFont="1" applyFill="1" applyBorder="1" applyAlignment="1">
      <alignment horizontal="center"/>
    </xf>
    <xf numFmtId="3" fontId="4" fillId="0" borderId="2" xfId="0" applyNumberFormat="1" applyFont="1" applyBorder="1" applyAlignment="1">
      <alignment horizontal="center" vertical="center"/>
    </xf>
    <xf numFmtId="0" fontId="6" fillId="0" borderId="2" xfId="0" applyFont="1" applyBorder="1" applyAlignment="1">
      <alignment horizontal="center" vertical="center"/>
    </xf>
    <xf numFmtId="0" fontId="4" fillId="0" borderId="13" xfId="0" applyFont="1" applyBorder="1"/>
    <xf numFmtId="0" fontId="4" fillId="3" borderId="5" xfId="0" applyFont="1" applyFill="1" applyBorder="1" applyAlignment="1">
      <alignment horizontal="center"/>
    </xf>
    <xf numFmtId="0" fontId="0" fillId="9" borderId="12" xfId="0" applyFill="1" applyBorder="1"/>
    <xf numFmtId="0" fontId="7" fillId="0" borderId="0" xfId="0" applyFont="1"/>
    <xf numFmtId="0" fontId="8" fillId="0" borderId="0" xfId="0" applyFont="1"/>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Graph!$A$3:$A$4</c:f>
              <c:strCache>
                <c:ptCount val="2"/>
                <c:pt idx="0">
                  <c:v>Initial Model</c:v>
                </c:pt>
                <c:pt idx="1">
                  <c:v>Adjusted Model</c:v>
                </c:pt>
              </c:strCache>
            </c:strRef>
          </c:cat>
          <c:val>
            <c:numRef>
              <c:f>Graph!$B$3:$B$4</c:f>
              <c:numCache>
                <c:formatCode>_("$"* #,##0.00_);_("$"* \(#,##0.00\);_("$"* "-"??_);_(@_)</c:formatCode>
                <c:ptCount val="2"/>
                <c:pt idx="0">
                  <c:v>10606000</c:v>
                </c:pt>
                <c:pt idx="1">
                  <c:v>10499750</c:v>
                </c:pt>
              </c:numCache>
            </c:numRef>
          </c:val>
          <c:extLst>
            <c:ext xmlns:c16="http://schemas.microsoft.com/office/drawing/2014/chart" uri="{C3380CC4-5D6E-409C-BE32-E72D297353CC}">
              <c16:uniqueId val="{00000000-926F-3D46-9AFF-9A4E34932E4E}"/>
            </c:ext>
          </c:extLst>
        </c:ser>
        <c:dLbls>
          <c:dLblPos val="inEnd"/>
          <c:showLegendKey val="0"/>
          <c:showVal val="1"/>
          <c:showCatName val="0"/>
          <c:showSerName val="0"/>
          <c:showPercent val="0"/>
          <c:showBubbleSize val="0"/>
        </c:dLbls>
        <c:gapWidth val="100"/>
        <c:overlap val="-24"/>
        <c:axId val="2140077360"/>
        <c:axId val="1983184768"/>
      </c:barChart>
      <c:catAx>
        <c:axId val="214007736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983184768"/>
        <c:crosses val="autoZero"/>
        <c:auto val="1"/>
        <c:lblAlgn val="ctr"/>
        <c:lblOffset val="100"/>
        <c:noMultiLvlLbl val="0"/>
      </c:catAx>
      <c:valAx>
        <c:axId val="1983184768"/>
        <c:scaling>
          <c:orientation val="minMax"/>
        </c:scaling>
        <c:delete val="1"/>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crossAx val="2140077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0.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101600</xdr:colOff>
      <xdr:row>1</xdr:row>
      <xdr:rowOff>38100</xdr:rowOff>
    </xdr:from>
    <xdr:to>
      <xdr:col>17</xdr:col>
      <xdr:colOff>279400</xdr:colOff>
      <xdr:row>36</xdr:row>
      <xdr:rowOff>12700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3411DC4F-9CFF-AE48-81DF-28BAB6F4C9FF}"/>
                </a:ext>
              </a:extLst>
            </xdr:cNvPr>
            <xdr:cNvSpPr txBox="1"/>
          </xdr:nvSpPr>
          <xdr:spPr>
            <a:xfrm>
              <a:off x="927100" y="241300"/>
              <a:ext cx="13385800" cy="7086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atin typeface="+mn-lt"/>
                </a:rPr>
                <a:t>Objective (Shipping and Processing):</a:t>
              </a:r>
            </a:p>
            <a:p>
              <a:pPr marL="0" marR="0" lvl="0" indent="0" defTabSz="914400" eaLnBrk="1" fontAlgn="auto" latinLnBrk="0" hangingPunct="1">
                <a:lnSpc>
                  <a:spcPct val="100000"/>
                </a:lnSpc>
                <a:spcBef>
                  <a:spcPts val="0"/>
                </a:spcBef>
                <a:spcAft>
                  <a:spcPts val="0"/>
                </a:spcAft>
                <a:buClrTx/>
                <a:buSzTx/>
                <a:buFontTx/>
                <a:buNone/>
                <a:tabLst/>
                <a:defRPr/>
              </a:pPr>
              <a:r>
                <a:rPr lang="en-US" sz="1600" b="1">
                  <a:latin typeface="+mn-lt"/>
                </a:rPr>
                <a:t>Minimize Z =</a:t>
              </a:r>
              <a:r>
                <a:rPr lang="en-US" sz="1600" b="1" baseline="0">
                  <a:latin typeface="+mn-lt"/>
                </a:rPr>
                <a:t> </a:t>
              </a:r>
              <a:r>
                <a:rPr lang="en-US" sz="1600" b="0" i="0" strike="noStrike" baseline="0">
                  <a:solidFill>
                    <a:srgbClr val="000000"/>
                  </a:solidFill>
                  <a:latin typeface="+mn-lt"/>
                  <a:cs typeface="Arial" panose="020B0604020202020204" pitchFamily="34" charset="0"/>
                </a:rPr>
                <a:t>850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14</a:t>
              </a:r>
              <a:r>
                <a:rPr lang="en-US" sz="1600" b="0" i="0" strike="noStrike">
                  <a:solidFill>
                    <a:srgbClr val="000000"/>
                  </a:solidFill>
                  <a:latin typeface="+mn-lt"/>
                  <a:cs typeface="Arial" panose="020B0604020202020204" pitchFamily="34" charset="0"/>
                </a:rPr>
                <a:t> + 720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15</a:t>
              </a:r>
              <a:r>
                <a:rPr lang="en-US" sz="1600" b="0" i="0" strike="noStrike">
                  <a:solidFill>
                    <a:srgbClr val="000000"/>
                  </a:solidFill>
                  <a:latin typeface="+mn-lt"/>
                  <a:cs typeface="Arial" panose="020B0604020202020204" pitchFamily="34" charset="0"/>
                </a:rPr>
                <a:t> + 910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16</a:t>
              </a:r>
              <a:r>
                <a:rPr lang="en-US" sz="1600" b="0" i="0" strike="noStrike">
                  <a:solidFill>
                    <a:srgbClr val="000000"/>
                  </a:solidFill>
                  <a:latin typeface="+mn-lt"/>
                  <a:cs typeface="Arial" panose="020B0604020202020204" pitchFamily="34" charset="0"/>
                </a:rPr>
                <a:t> + 750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17</a:t>
              </a:r>
              <a:r>
                <a:rPr lang="en-US" sz="1600" b="0" i="0" strike="noStrike">
                  <a:solidFill>
                    <a:srgbClr val="000000"/>
                  </a:solidFill>
                  <a:latin typeface="+mn-lt"/>
                  <a:cs typeface="Arial" panose="020B0604020202020204" pitchFamily="34" charset="0"/>
                </a:rPr>
                <a:t> +  </a:t>
              </a:r>
              <a:r>
                <a:rPr lang="en-US" sz="1600" b="0" i="0" strike="noStrike" baseline="0">
                  <a:solidFill>
                    <a:srgbClr val="000000"/>
                  </a:solidFill>
                  <a:latin typeface="+mn-lt"/>
                  <a:cs typeface="Arial" panose="020B0604020202020204" pitchFamily="34" charset="0"/>
                </a:rPr>
                <a:t>970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24</a:t>
              </a:r>
              <a:r>
                <a:rPr lang="en-US" sz="1600" b="0" i="0" strike="noStrike">
                  <a:solidFill>
                    <a:srgbClr val="000000"/>
                  </a:solidFill>
                  <a:latin typeface="+mn-lt"/>
                  <a:cs typeface="Arial" panose="020B0604020202020204" pitchFamily="34" charset="0"/>
                </a:rPr>
                <a:t> + 790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25</a:t>
              </a:r>
              <a:r>
                <a:rPr lang="en-US" sz="1600" b="0" i="0" strike="noStrike">
                  <a:solidFill>
                    <a:srgbClr val="000000"/>
                  </a:solidFill>
                  <a:latin typeface="+mn-lt"/>
                  <a:cs typeface="Arial" panose="020B0604020202020204" pitchFamily="34" charset="0"/>
                </a:rPr>
                <a:t> + 1050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26</a:t>
              </a:r>
              <a:r>
                <a:rPr lang="en-US" sz="1600" b="0" i="0" strike="noStrike">
                  <a:solidFill>
                    <a:srgbClr val="000000"/>
                  </a:solidFill>
                  <a:latin typeface="+mn-lt"/>
                  <a:cs typeface="Arial" panose="020B0604020202020204" pitchFamily="34" charset="0"/>
                </a:rPr>
                <a:t> + 880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27</a:t>
              </a:r>
              <a:r>
                <a:rPr lang="en-US" sz="1600" b="0" i="0" strike="noStrike">
                  <a:solidFill>
                    <a:srgbClr val="000000"/>
                  </a:solidFill>
                  <a:latin typeface="+mn-lt"/>
                  <a:cs typeface="Arial" panose="020B0604020202020204" pitchFamily="34" charset="0"/>
                </a:rPr>
                <a:t> + </a:t>
              </a:r>
              <a:r>
                <a:rPr lang="en-US" sz="1600" b="0" i="0" strike="noStrike" baseline="0">
                  <a:solidFill>
                    <a:srgbClr val="000000"/>
                  </a:solidFill>
                  <a:latin typeface="+mn-lt"/>
                  <a:cs typeface="Arial" panose="020B0604020202020204" pitchFamily="34" charset="0"/>
                </a:rPr>
                <a:t>900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34</a:t>
              </a:r>
              <a:r>
                <a:rPr lang="en-US" sz="1600" b="0" i="0" strike="noStrike">
                  <a:solidFill>
                    <a:srgbClr val="000000"/>
                  </a:solidFill>
                  <a:latin typeface="+mn-lt"/>
                  <a:cs typeface="Arial" panose="020B0604020202020204" pitchFamily="34" charset="0"/>
                </a:rPr>
                <a:t> + 830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35</a:t>
              </a:r>
              <a:r>
                <a:rPr lang="en-US" sz="1600" b="0" i="0" strike="noStrike">
                  <a:solidFill>
                    <a:srgbClr val="000000"/>
                  </a:solidFill>
                  <a:latin typeface="+mn-lt"/>
                  <a:cs typeface="Arial" panose="020B0604020202020204" pitchFamily="34" charset="0"/>
                </a:rPr>
                <a:t> + 780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36</a:t>
              </a:r>
              <a:r>
                <a:rPr lang="en-US" sz="1600" b="0" i="0" strike="noStrike">
                  <a:solidFill>
                    <a:srgbClr val="000000"/>
                  </a:solidFill>
                  <a:latin typeface="+mn-lt"/>
                  <a:cs typeface="Arial" panose="020B0604020202020204" pitchFamily="34" charset="0"/>
                </a:rPr>
                <a:t> + 820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37</a:t>
              </a:r>
              <a:r>
                <a:rPr lang="en-US" sz="1600" b="0" i="0" strike="noStrike">
                  <a:solidFill>
                    <a:srgbClr val="000000"/>
                  </a:solidFill>
                  <a:latin typeface="+mn-lt"/>
                  <a:cs typeface="Arial" panose="020B0604020202020204" pitchFamily="34" charset="0"/>
                </a:rPr>
                <a:t>  +</a:t>
              </a:r>
              <a:r>
                <a:rPr lang="en-US" sz="1600" b="0" i="0" strike="noStrike" baseline="0">
                  <a:solidFill>
                    <a:srgbClr val="000000"/>
                  </a:solidFill>
                  <a:latin typeface="+mn-lt"/>
                  <a:cs typeface="Arial" panose="020B0604020202020204" pitchFamily="34" charset="0"/>
                </a:rPr>
                <a:t> 2,100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A4</a:t>
              </a:r>
              <a:r>
                <a:rPr lang="en-US" sz="1600" b="0" i="0" strike="noStrike">
                  <a:solidFill>
                    <a:srgbClr val="000000"/>
                  </a:solidFill>
                  <a:latin typeface="+mn-lt"/>
                  <a:cs typeface="Arial" panose="020B0604020202020204" pitchFamily="34" charset="0"/>
                </a:rPr>
                <a:t> + 2,350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A5</a:t>
              </a:r>
              <a:r>
                <a:rPr lang="en-US" sz="1600" b="0" i="0" strike="noStrike">
                  <a:solidFill>
                    <a:srgbClr val="000000"/>
                  </a:solidFill>
                  <a:latin typeface="+mn-lt"/>
                  <a:cs typeface="Arial" panose="020B0604020202020204" pitchFamily="34" charset="0"/>
                </a:rPr>
                <a:t> + 2,200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A6</a:t>
              </a:r>
              <a:r>
                <a:rPr lang="en-US" sz="1600" b="0" i="0" strike="noStrike">
                  <a:solidFill>
                    <a:srgbClr val="000000"/>
                  </a:solidFill>
                  <a:latin typeface="+mn-lt"/>
                  <a:cs typeface="Arial" panose="020B0604020202020204" pitchFamily="34" charset="0"/>
                </a:rPr>
                <a:t> + 1,900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A7</a:t>
              </a:r>
              <a:r>
                <a:rPr lang="en-US" sz="1600" b="0" i="0" strike="noStrike">
                  <a:solidFill>
                    <a:srgbClr val="000000"/>
                  </a:solidFill>
                  <a:latin typeface="+mn-lt"/>
                  <a:cs typeface="Arial" panose="020B0604020202020204" pitchFamily="34" charset="0"/>
                </a:rPr>
                <a:t> + </a:t>
              </a:r>
              <a:r>
                <a:rPr lang="en-US" sz="1600" b="0" i="0" strike="noStrike" baseline="0">
                  <a:solidFill>
                    <a:srgbClr val="000000"/>
                  </a:solidFill>
                  <a:latin typeface="+mn-lt"/>
                  <a:cs typeface="Arial" panose="020B0604020202020204" pitchFamily="34" charset="0"/>
                </a:rPr>
                <a:t>4,100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B4</a:t>
              </a:r>
              <a:r>
                <a:rPr lang="en-US" sz="1600" b="0" i="0" strike="noStrike">
                  <a:solidFill>
                    <a:srgbClr val="000000"/>
                  </a:solidFill>
                  <a:latin typeface="+mn-lt"/>
                  <a:cs typeface="Arial" panose="020B0604020202020204" pitchFamily="34" charset="0"/>
                </a:rPr>
                <a:t> + 4,300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B5</a:t>
              </a:r>
              <a:r>
                <a:rPr lang="en-US" sz="1600" b="0" i="0" strike="noStrike">
                  <a:solidFill>
                    <a:srgbClr val="000000"/>
                  </a:solidFill>
                  <a:latin typeface="+mn-lt"/>
                  <a:cs typeface="Arial" panose="020B0604020202020204" pitchFamily="34" charset="0"/>
                </a:rPr>
                <a:t> + 3,950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B6</a:t>
              </a:r>
              <a:r>
                <a:rPr lang="en-US" sz="1600" b="0" i="0" strike="noStrike">
                  <a:solidFill>
                    <a:srgbClr val="000000"/>
                  </a:solidFill>
                  <a:latin typeface="+mn-lt"/>
                  <a:cs typeface="Arial" panose="020B0604020202020204" pitchFamily="34" charset="0"/>
                </a:rPr>
                <a:t> + 3,900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B7</a:t>
              </a:r>
              <a:r>
                <a:rPr lang="en-US" sz="1600" b="0" i="0" strike="noStrike">
                  <a:solidFill>
                    <a:srgbClr val="000000"/>
                  </a:solidFill>
                  <a:latin typeface="+mn-lt"/>
                  <a:cs typeface="Arial" panose="020B0604020202020204" pitchFamily="34" charset="0"/>
                </a:rPr>
                <a:t> +</a:t>
              </a:r>
              <a:r>
                <a:rPr lang="en-US" sz="1600" b="0" i="0" strike="noStrike" baseline="0">
                  <a:solidFill>
                    <a:srgbClr val="000000"/>
                  </a:solidFill>
                  <a:latin typeface="+mn-lt"/>
                  <a:cs typeface="Arial" panose="020B0604020202020204" pitchFamily="34" charset="0"/>
                </a:rPr>
                <a:t>2,600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C4</a:t>
              </a:r>
              <a:r>
                <a:rPr lang="en-US" sz="1600" b="0" i="0" strike="noStrike">
                  <a:solidFill>
                    <a:srgbClr val="000000"/>
                  </a:solidFill>
                  <a:latin typeface="+mn-lt"/>
                  <a:cs typeface="Arial" panose="020B0604020202020204" pitchFamily="34" charset="0"/>
                </a:rPr>
                <a:t> + 2,300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C5</a:t>
              </a:r>
              <a:r>
                <a:rPr lang="en-US" sz="1600" b="0" i="0" strike="noStrike">
                  <a:solidFill>
                    <a:srgbClr val="000000"/>
                  </a:solidFill>
                  <a:latin typeface="+mn-lt"/>
                  <a:cs typeface="Arial" panose="020B0604020202020204" pitchFamily="34" charset="0"/>
                </a:rPr>
                <a:t> + 2,500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C6</a:t>
              </a:r>
              <a:r>
                <a:rPr lang="en-US" sz="1600" b="0" i="0" strike="noStrike">
                  <a:solidFill>
                    <a:srgbClr val="000000"/>
                  </a:solidFill>
                  <a:latin typeface="+mn-lt"/>
                  <a:cs typeface="Arial" panose="020B0604020202020204" pitchFamily="34" charset="0"/>
                </a:rPr>
                <a:t> + 2,800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C7</a:t>
              </a:r>
              <a:r>
                <a:rPr lang="en-US" sz="1600" b="0" i="0" strike="noStrike">
                  <a:solidFill>
                    <a:srgbClr val="000000"/>
                  </a:solidFill>
                  <a:latin typeface="+mn-lt"/>
                  <a:cs typeface="Arial" panose="020B0604020202020204" pitchFamily="34" charset="0"/>
                </a:rPr>
                <a:t>  </a:t>
              </a:r>
            </a:p>
            <a:p>
              <a:endParaRPr lang="en-US" sz="1600" b="0" i="0" strike="noStrike">
                <a:solidFill>
                  <a:srgbClr val="000000"/>
                </a:solidFill>
                <a:latin typeface="+mn-lt"/>
                <a:cs typeface="Arial" panose="020B0604020202020204" pitchFamily="34" charset="0"/>
              </a:endParaRPr>
            </a:p>
            <a:p>
              <a:endParaRPr lang="en-US" sz="1600" b="1">
                <a:latin typeface="+mn-lt"/>
              </a:endParaRPr>
            </a:p>
            <a:p>
              <a:r>
                <a:rPr lang="en-US" sz="1600" b="1">
                  <a:latin typeface="+mn-lt"/>
                </a:rPr>
                <a:t>Shipping Constraints:</a:t>
              </a:r>
            </a:p>
            <a:p>
              <a:pPr marL="0" marR="0" lvl="0" indent="0" defTabSz="914400" eaLnBrk="1" fontAlgn="auto" latinLnBrk="0" hangingPunct="1">
                <a:lnSpc>
                  <a:spcPct val="100000"/>
                </a:lnSpc>
                <a:spcBef>
                  <a:spcPts val="0"/>
                </a:spcBef>
                <a:spcAft>
                  <a:spcPts val="0"/>
                </a:spcAft>
                <a:buClrTx/>
                <a:buSzTx/>
                <a:buFontTx/>
                <a:buNone/>
                <a:tabLst/>
                <a:defRPr/>
              </a:pP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17 </a:t>
              </a:r>
              <a14:m>
                <m:oMath xmlns:m="http://schemas.openxmlformats.org/officeDocument/2006/math">
                  <m:r>
                    <a:rPr lang="en-US" sz="1600" b="1" i="1">
                      <a:latin typeface="Cambria Math" panose="02040503050406030204" pitchFamily="18" charset="0"/>
                      <a:ea typeface="Cambria Math" panose="02040503050406030204" pitchFamily="18" charset="0"/>
                    </a:rPr>
                    <m:t>≤</m:t>
                  </m:r>
                </m:oMath>
              </a14:m>
              <a:r>
                <a:rPr lang="en-US" sz="1600" b="1">
                  <a:latin typeface="+mn-lt"/>
                </a:rPr>
                <a:t> </a:t>
              </a:r>
              <a:r>
                <a:rPr lang="en-US" sz="1600" b="0">
                  <a:latin typeface="+mn-lt"/>
                </a:rPr>
                <a:t>1,400 (</a:t>
              </a:r>
              <a:r>
                <a:rPr lang="en-US" sz="1600">
                  <a:latin typeface="+mn-lt"/>
                </a:rPr>
                <a:t>New</a:t>
              </a:r>
              <a:r>
                <a:rPr lang="en-US" sz="1600" baseline="0">
                  <a:latin typeface="+mn-lt"/>
                </a:rPr>
                <a:t> York Available Supply)</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27 </a:t>
              </a:r>
              <a14:m>
                <m:oMath xmlns:m="http://schemas.openxmlformats.org/officeDocument/2006/math">
                  <m:r>
                    <a:rPr lang="en-US" sz="1600" b="1" i="1">
                      <a:latin typeface="Cambria Math" panose="02040503050406030204" pitchFamily="18" charset="0"/>
                      <a:ea typeface="Cambria Math" panose="02040503050406030204" pitchFamily="18" charset="0"/>
                    </a:rPr>
                    <m:t>≤</m:t>
                  </m:r>
                </m:oMath>
              </a14:m>
              <a:r>
                <a:rPr lang="en-US" sz="1600" b="1">
                  <a:latin typeface="+mn-lt"/>
                </a:rPr>
                <a:t> </a:t>
              </a:r>
              <a:r>
                <a:rPr lang="en-US" sz="1600" b="0">
                  <a:latin typeface="+mn-lt"/>
                </a:rPr>
                <a:t>1,100 (</a:t>
              </a:r>
              <a:r>
                <a:rPr lang="en-US" sz="1600">
                  <a:latin typeface="+mn-lt"/>
                </a:rPr>
                <a:t>Pennsylvania</a:t>
              </a:r>
              <a:r>
                <a:rPr lang="en-US" sz="1600" baseline="0">
                  <a:latin typeface="+mn-lt"/>
                </a:rPr>
                <a:t> Available Supply)</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37 </a:t>
              </a:r>
              <a14:m>
                <m:oMath xmlns:m="http://schemas.openxmlformats.org/officeDocument/2006/math">
                  <m:r>
                    <a:rPr lang="en-US" sz="1600" b="1" i="1">
                      <a:latin typeface="Cambria Math" panose="02040503050406030204" pitchFamily="18" charset="0"/>
                      <a:ea typeface="Cambria Math" panose="02040503050406030204" pitchFamily="18" charset="0"/>
                    </a:rPr>
                    <m:t>≤</m:t>
                  </m:r>
                </m:oMath>
              </a14:m>
              <a:r>
                <a:rPr lang="en-US" sz="1600" b="1">
                  <a:latin typeface="+mn-lt"/>
                </a:rPr>
                <a:t> </a:t>
              </a:r>
              <a:r>
                <a:rPr lang="en-US" sz="1600" b="0">
                  <a:latin typeface="+mn-lt"/>
                </a:rPr>
                <a:t>1,700 (Ohio </a:t>
              </a:r>
              <a:r>
                <a:rPr lang="en-US" sz="1600" baseline="0">
                  <a:latin typeface="+mn-lt"/>
                </a:rPr>
                <a:t>Available Supply)</a:t>
              </a:r>
              <a:endParaRPr lang="en-US" sz="1600" b="0">
                <a:latin typeface="+mn-lt"/>
              </a:endParaRPr>
            </a:p>
            <a:p>
              <a:endParaRPr lang="en-US" sz="1600" b="1" baseline="0">
                <a:latin typeface="+mn-lt"/>
              </a:endParaRPr>
            </a:p>
            <a:p>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34 </a:t>
              </a:r>
              <a14:m>
                <m:oMath xmlns:m="http://schemas.openxmlformats.org/officeDocument/2006/math">
                  <m:r>
                    <a:rPr lang="en-US" sz="1600" b="1" i="1">
                      <a:latin typeface="Cambria Math" panose="02040503050406030204" pitchFamily="18" charset="0"/>
                      <a:ea typeface="Cambria Math" panose="02040503050406030204" pitchFamily="18" charset="0"/>
                    </a:rPr>
                    <m:t>≤</m:t>
                  </m:r>
                </m:oMath>
              </a14:m>
              <a:r>
                <a:rPr lang="en-US" sz="1600" b="1">
                  <a:latin typeface="+mn-lt"/>
                </a:rPr>
                <a:t> </a:t>
              </a:r>
              <a:r>
                <a:rPr lang="en-US" sz="1600" b="0">
                  <a:latin typeface="+mn-lt"/>
                </a:rPr>
                <a:t>1,200 (Virginia</a:t>
              </a:r>
              <a:r>
                <a:rPr lang="en-US" sz="1600" b="0" baseline="0">
                  <a:latin typeface="+mn-lt"/>
                </a:rPr>
                <a:t> Capacity)</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35 </a:t>
              </a:r>
              <a14:m>
                <m:oMath xmlns:m="http://schemas.openxmlformats.org/officeDocument/2006/math">
                  <m:r>
                    <a:rPr lang="en-US" sz="1600" b="1" i="1">
                      <a:latin typeface="Cambria Math" panose="02040503050406030204" pitchFamily="18" charset="0"/>
                      <a:ea typeface="Cambria Math" panose="02040503050406030204" pitchFamily="18" charset="0"/>
                    </a:rPr>
                    <m:t>≤</m:t>
                  </m:r>
                </m:oMath>
              </a14:m>
              <a:r>
                <a:rPr lang="en-US" sz="1600" b="1">
                  <a:latin typeface="+mn-lt"/>
                </a:rPr>
                <a:t> </a:t>
              </a:r>
              <a:r>
                <a:rPr lang="en-US" sz="1600" b="0">
                  <a:latin typeface="+mn-lt"/>
                </a:rPr>
                <a:t>1,100 (Michigan</a:t>
              </a:r>
              <a:r>
                <a:rPr lang="en-US" sz="1600" b="0" baseline="0">
                  <a:latin typeface="+mn-lt"/>
                </a:rPr>
                <a:t> Capacity)</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36 </a:t>
              </a:r>
              <a14:m>
                <m:oMath xmlns:m="http://schemas.openxmlformats.org/officeDocument/2006/math">
                  <m:r>
                    <a:rPr lang="en-US" sz="1600" b="1" i="1">
                      <a:latin typeface="Cambria Math" panose="02040503050406030204" pitchFamily="18" charset="0"/>
                      <a:ea typeface="Cambria Math" panose="02040503050406030204" pitchFamily="18" charset="0"/>
                    </a:rPr>
                    <m:t>≤</m:t>
                  </m:r>
                </m:oMath>
              </a14:m>
              <a:r>
                <a:rPr lang="en-US" sz="1600" b="1">
                  <a:latin typeface="+mn-lt"/>
                </a:rPr>
                <a:t> </a:t>
              </a:r>
              <a:r>
                <a:rPr lang="en-US" sz="1600" b="0">
                  <a:latin typeface="+mn-lt"/>
                </a:rPr>
                <a:t>1,400 (Tennessee</a:t>
              </a:r>
              <a:r>
                <a:rPr lang="en-US" sz="1600" b="0" baseline="0">
                  <a:latin typeface="+mn-lt"/>
                </a:rPr>
                <a:t> Capacity)</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17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27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37 </a:t>
              </a:r>
              <a14:m>
                <m:oMath xmlns:m="http://schemas.openxmlformats.org/officeDocument/2006/math">
                  <m:r>
                    <a:rPr lang="en-US" sz="1600" b="1" i="1">
                      <a:latin typeface="Cambria Math" panose="02040503050406030204" pitchFamily="18" charset="0"/>
                      <a:ea typeface="Cambria Math" panose="02040503050406030204" pitchFamily="18" charset="0"/>
                    </a:rPr>
                    <m:t>≤</m:t>
                  </m:r>
                </m:oMath>
              </a14:m>
              <a:r>
                <a:rPr lang="en-US" sz="1600" b="1">
                  <a:latin typeface="+mn-lt"/>
                </a:rPr>
                <a:t> </a:t>
              </a:r>
              <a:r>
                <a:rPr lang="en-US" sz="1600" b="0">
                  <a:latin typeface="+mn-lt"/>
                </a:rPr>
                <a:t>1,400 (Indiana</a:t>
              </a:r>
              <a:r>
                <a:rPr lang="en-US" sz="1600" b="0" baseline="0">
                  <a:latin typeface="+mn-lt"/>
                </a:rPr>
                <a:t> Capacity)</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aseline="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1" baseline="0">
                  <a:latin typeface="+mn-lt"/>
                  <a:cs typeface="Arial" panose="020B0604020202020204" pitchFamily="34" charset="0"/>
                </a:rPr>
                <a:t>Processing Constraints:</a:t>
              </a:r>
              <a:endParaRPr lang="en-US" sz="1600" baseline="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A7 </a:t>
              </a:r>
              <a14:m>
                <m:oMath xmlns:m="http://schemas.openxmlformats.org/officeDocument/2006/math">
                  <m:r>
                    <a:rPr lang="en-US" sz="1600" b="1" i="1">
                      <a:latin typeface="Cambria Math" panose="02040503050406030204" pitchFamily="18" charset="0"/>
                      <a:ea typeface="Cambria Math" panose="02040503050406030204" pitchFamily="18" charset="0"/>
                    </a:rPr>
                    <m:t>=</m:t>
                  </m:r>
                </m:oMath>
              </a14:m>
              <a:r>
                <a:rPr lang="en-US" sz="1600" b="1">
                  <a:latin typeface="+mn-lt"/>
                </a:rPr>
                <a:t> </a:t>
              </a:r>
              <a:r>
                <a:rPr lang="en-US" sz="1600" b="0">
                  <a:latin typeface="+mn-lt"/>
                </a:rPr>
                <a:t>1,200 (Juice Demand</a:t>
              </a:r>
              <a:r>
                <a:rPr lang="en-US" sz="1600" baseline="0">
                  <a:latin typeface="+mn-lt"/>
                </a:rPr>
                <a:t>)</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B7 </a:t>
              </a:r>
              <a14:m>
                <m:oMath xmlns:m="http://schemas.openxmlformats.org/officeDocument/2006/math">
                  <m:r>
                    <a:rPr lang="en-US" sz="1600" b="1" i="1">
                      <a:latin typeface="Cambria Math" panose="02040503050406030204" pitchFamily="18" charset="0"/>
                      <a:ea typeface="Cambria Math" panose="02040503050406030204" pitchFamily="18" charset="0"/>
                    </a:rPr>
                    <m:t>=</m:t>
                  </m:r>
                </m:oMath>
              </a14:m>
              <a:r>
                <a:rPr lang="en-US" sz="1600" b="1">
                  <a:latin typeface="+mn-lt"/>
                </a:rPr>
                <a:t> </a:t>
              </a:r>
              <a:r>
                <a:rPr lang="en-US" sz="1600" b="0">
                  <a:latin typeface="+mn-lt"/>
                </a:rPr>
                <a:t>900 (Concentrate Demand</a:t>
              </a:r>
              <a:r>
                <a:rPr lang="en-US" sz="1600" baseline="0">
                  <a:latin typeface="+mn-lt"/>
                </a:rPr>
                <a:t>)</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C7 </a:t>
              </a:r>
              <a14:m>
                <m:oMath xmlns:m="http://schemas.openxmlformats.org/officeDocument/2006/math">
                  <m:r>
                    <a:rPr lang="en-US" sz="1600" b="1" i="1">
                      <a:latin typeface="Cambria Math" panose="02040503050406030204" pitchFamily="18" charset="0"/>
                      <a:ea typeface="Cambria Math" panose="02040503050406030204" pitchFamily="18" charset="0"/>
                    </a:rPr>
                    <m:t>=</m:t>
                  </m:r>
                </m:oMath>
              </a14:m>
              <a:r>
                <a:rPr lang="en-US" sz="1600" b="1">
                  <a:latin typeface="+mn-lt"/>
                </a:rPr>
                <a:t> </a:t>
              </a:r>
              <a:r>
                <a:rPr lang="en-US" sz="1600" b="0">
                  <a:latin typeface="+mn-lt"/>
                </a:rPr>
                <a:t>1,050 (Jelly Demand</a:t>
              </a:r>
              <a:r>
                <a:rPr lang="en-US" sz="1600" baseline="0">
                  <a:latin typeface="+mn-lt"/>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0" baseline="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14</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24</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34</a:t>
              </a:r>
              <a:r>
                <a:rPr lang="en-US" sz="1600" b="0" i="0">
                  <a:solidFill>
                    <a:schemeClr val="dk1"/>
                  </a:solidFill>
                  <a:effectLst/>
                  <a:latin typeface="+mn-lt"/>
                  <a:ea typeface="+mn-ea"/>
                  <a:cs typeface="+mn-cs"/>
                </a:rPr>
                <a:t>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A4</a:t>
              </a:r>
              <a:r>
                <a:rPr lang="en-US" sz="1600" b="0" i="0">
                  <a:solidFill>
                    <a:schemeClr val="dk1"/>
                  </a:solidFill>
                  <a:effectLst/>
                  <a:latin typeface="+mn-lt"/>
                  <a:ea typeface="+mn-ea"/>
                  <a:cs typeface="+mn-cs"/>
                </a:rPr>
                <a:t> +2*</a:t>
              </a:r>
              <a:r>
                <a:rPr lang="en-US" sz="1600" b="0" i="0" baseline="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B4</a:t>
              </a:r>
              <a:r>
                <a:rPr lang="en-US" sz="1600" b="0" i="0">
                  <a:solidFill>
                    <a:schemeClr val="dk1"/>
                  </a:solidFill>
                  <a:effectLst/>
                  <a:latin typeface="+mn-lt"/>
                  <a:ea typeface="+mn-ea"/>
                  <a:cs typeface="+mn-cs"/>
                </a:rPr>
                <a:t> +1.5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C4  </a:t>
              </a:r>
              <a:r>
                <a:rPr lang="en-US" sz="1600" b="0">
                  <a:latin typeface="+mn-lt"/>
                </a:rPr>
                <a:t>(</a:t>
              </a:r>
              <a:r>
                <a:rPr lang="en-US" sz="1600" b="0" baseline="0">
                  <a:latin typeface="+mn-lt"/>
                </a:rPr>
                <a:t>Unprocessed Juice/Product Ratio)</a:t>
              </a:r>
              <a:endParaRPr lang="en-US" sz="1600" b="0" i="0" baseline="-250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15</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25</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35</a:t>
              </a:r>
              <a:r>
                <a:rPr lang="en-US" sz="1600" b="0" i="0">
                  <a:solidFill>
                    <a:schemeClr val="dk1"/>
                  </a:solidFill>
                  <a:effectLst/>
                  <a:latin typeface="+mn-lt"/>
                  <a:ea typeface="+mn-ea"/>
                  <a:cs typeface="+mn-cs"/>
                </a:rPr>
                <a:t>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A5</a:t>
              </a:r>
              <a:r>
                <a:rPr lang="en-US" sz="1600" b="0" i="0">
                  <a:solidFill>
                    <a:schemeClr val="dk1"/>
                  </a:solidFill>
                  <a:effectLst/>
                  <a:latin typeface="+mn-lt"/>
                  <a:ea typeface="+mn-ea"/>
                  <a:cs typeface="+mn-cs"/>
                </a:rPr>
                <a:t> +2*</a:t>
              </a:r>
              <a:r>
                <a:rPr lang="en-US" sz="1600" b="0" i="0" baseline="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B5</a:t>
              </a:r>
              <a:r>
                <a:rPr lang="en-US" sz="1600" b="0" i="0">
                  <a:solidFill>
                    <a:schemeClr val="dk1"/>
                  </a:solidFill>
                  <a:effectLst/>
                  <a:latin typeface="+mn-lt"/>
                  <a:ea typeface="+mn-ea"/>
                  <a:cs typeface="+mn-cs"/>
                </a:rPr>
                <a:t> +1.5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C5 </a:t>
              </a:r>
              <a:r>
                <a:rPr lang="en-US" sz="1600" b="0">
                  <a:latin typeface="+mn-lt"/>
                </a:rPr>
                <a:t>(</a:t>
              </a:r>
              <a:r>
                <a:rPr lang="en-US" sz="1600" b="0" baseline="0">
                  <a:latin typeface="+mn-lt"/>
                </a:rPr>
                <a:t>Unprocessed Juice/Product Ratio</a:t>
              </a:r>
              <a:r>
                <a:rPr lang="en-US" sz="1600" baseline="0">
                  <a:latin typeface="+mn-lt"/>
                </a:rPr>
                <a:t>)</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16</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26</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36</a:t>
              </a:r>
              <a:r>
                <a:rPr lang="en-US" sz="1600" b="0" i="0">
                  <a:solidFill>
                    <a:schemeClr val="dk1"/>
                  </a:solidFill>
                  <a:effectLst/>
                  <a:latin typeface="+mn-lt"/>
                  <a:ea typeface="+mn-ea"/>
                  <a:cs typeface="+mn-cs"/>
                </a:rPr>
                <a:t>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A6</a:t>
              </a:r>
              <a:r>
                <a:rPr lang="en-US" sz="1600" b="0" i="0">
                  <a:solidFill>
                    <a:schemeClr val="dk1"/>
                  </a:solidFill>
                  <a:effectLst/>
                  <a:latin typeface="+mn-lt"/>
                  <a:ea typeface="+mn-ea"/>
                  <a:cs typeface="+mn-cs"/>
                </a:rPr>
                <a:t> +2*</a:t>
              </a:r>
              <a:r>
                <a:rPr lang="en-US" sz="1600" b="0" i="0" baseline="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B6</a:t>
              </a:r>
              <a:r>
                <a:rPr lang="en-US" sz="1600" b="0" i="0">
                  <a:solidFill>
                    <a:schemeClr val="dk1"/>
                  </a:solidFill>
                  <a:effectLst/>
                  <a:latin typeface="+mn-lt"/>
                  <a:ea typeface="+mn-ea"/>
                  <a:cs typeface="+mn-cs"/>
                </a:rPr>
                <a:t> +1.5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C6 </a:t>
              </a:r>
              <a:r>
                <a:rPr lang="en-US" sz="1600" b="0">
                  <a:latin typeface="+mn-lt"/>
                </a:rPr>
                <a:t>(</a:t>
              </a:r>
              <a:r>
                <a:rPr lang="en-US" sz="1600" b="0" baseline="0">
                  <a:latin typeface="+mn-lt"/>
                </a:rPr>
                <a:t>Unprocessed Juice/Product Ratio</a:t>
              </a:r>
              <a:r>
                <a:rPr lang="en-US" sz="1600" baseline="0">
                  <a:latin typeface="+mn-lt"/>
                </a:rPr>
                <a:t>)</a:t>
              </a:r>
              <a:endParaRPr lang="en-US" sz="1600" b="0" i="0" baseline="-250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17</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27</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37</a:t>
              </a:r>
              <a:r>
                <a:rPr lang="en-US" sz="1600" b="0" i="0">
                  <a:solidFill>
                    <a:schemeClr val="dk1"/>
                  </a:solidFill>
                  <a:effectLst/>
                  <a:latin typeface="+mn-lt"/>
                  <a:ea typeface="+mn-ea"/>
                  <a:cs typeface="+mn-cs"/>
                </a:rPr>
                <a:t>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A7</a:t>
              </a:r>
              <a:r>
                <a:rPr lang="en-US" sz="1600" b="0" i="0">
                  <a:solidFill>
                    <a:schemeClr val="dk1"/>
                  </a:solidFill>
                  <a:effectLst/>
                  <a:latin typeface="+mn-lt"/>
                  <a:ea typeface="+mn-ea"/>
                  <a:cs typeface="+mn-cs"/>
                </a:rPr>
                <a:t> +2*</a:t>
              </a:r>
              <a:r>
                <a:rPr lang="en-US" sz="1600" b="0" i="0" baseline="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B7</a:t>
              </a:r>
              <a:r>
                <a:rPr lang="en-US" sz="1600" b="0" i="0">
                  <a:solidFill>
                    <a:schemeClr val="dk1"/>
                  </a:solidFill>
                  <a:effectLst/>
                  <a:latin typeface="+mn-lt"/>
                  <a:ea typeface="+mn-ea"/>
                  <a:cs typeface="+mn-cs"/>
                </a:rPr>
                <a:t> +1.5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C7  </a:t>
              </a:r>
              <a:r>
                <a:rPr lang="en-US" sz="1600" b="0">
                  <a:latin typeface="+mn-lt"/>
                </a:rPr>
                <a:t>(</a:t>
              </a:r>
              <a:r>
                <a:rPr lang="en-US" sz="1600" b="0" baseline="0">
                  <a:latin typeface="+mn-lt"/>
                </a:rPr>
                <a:t>Unprocessed Juice/Product Ratio</a:t>
              </a:r>
              <a:r>
                <a:rPr lang="en-US" sz="1600" baseline="0">
                  <a:latin typeface="+mn-lt"/>
                </a:rPr>
                <a:t>)</a:t>
              </a:r>
              <a:endParaRPr lang="en-US" sz="16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600" b="0" baseline="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ij </a:t>
              </a:r>
              <a14:m>
                <m:oMath xmlns:m="http://schemas.openxmlformats.org/officeDocument/2006/math">
                  <m:r>
                    <a:rPr lang="en-US" sz="1600" b="1" i="1">
                      <a:latin typeface="Cambria Math" panose="02040503050406030204" pitchFamily="18" charset="0"/>
                      <a:ea typeface="Cambria Math" panose="02040503050406030204" pitchFamily="18" charset="0"/>
                    </a:rPr>
                    <m:t>≥ </m:t>
                  </m:r>
                </m:oMath>
              </a14:m>
              <a:r>
                <a:rPr lang="en-US" sz="1600" b="0" baseline="0">
                  <a:latin typeface="+mn-lt"/>
                </a:rPr>
                <a:t>0</a:t>
              </a:r>
              <a:endParaRPr lang="en-US" sz="1600" b="1" baseline="0">
                <a:latin typeface="+mn-lt"/>
              </a:endParaRPr>
            </a:p>
            <a:p>
              <a:endParaRPr lang="en-US" sz="1600" baseline="0"/>
            </a:p>
          </xdr:txBody>
        </xdr:sp>
      </mc:Choice>
      <mc:Fallback xmlns="">
        <xdr:sp macro="" textlink="">
          <xdr:nvSpPr>
            <xdr:cNvPr id="2" name="TextBox 1">
              <a:extLst>
                <a:ext uri="{FF2B5EF4-FFF2-40B4-BE49-F238E27FC236}">
                  <a16:creationId xmlns:a16="http://schemas.microsoft.com/office/drawing/2014/main" id="{3411DC4F-9CFF-AE48-81DF-28BAB6F4C9FF}"/>
                </a:ext>
              </a:extLst>
            </xdr:cNvPr>
            <xdr:cNvSpPr txBox="1"/>
          </xdr:nvSpPr>
          <xdr:spPr>
            <a:xfrm>
              <a:off x="927100" y="241300"/>
              <a:ext cx="13385800" cy="7086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atin typeface="+mn-lt"/>
                </a:rPr>
                <a:t>Objective (Shipping and Processing):</a:t>
              </a:r>
            </a:p>
            <a:p>
              <a:pPr marL="0" marR="0" lvl="0" indent="0" defTabSz="914400" eaLnBrk="1" fontAlgn="auto" latinLnBrk="0" hangingPunct="1">
                <a:lnSpc>
                  <a:spcPct val="100000"/>
                </a:lnSpc>
                <a:spcBef>
                  <a:spcPts val="0"/>
                </a:spcBef>
                <a:spcAft>
                  <a:spcPts val="0"/>
                </a:spcAft>
                <a:buClrTx/>
                <a:buSzTx/>
                <a:buFontTx/>
                <a:buNone/>
                <a:tabLst/>
                <a:defRPr/>
              </a:pPr>
              <a:r>
                <a:rPr lang="en-US" sz="1600" b="1">
                  <a:latin typeface="+mn-lt"/>
                </a:rPr>
                <a:t>Minimize Z =</a:t>
              </a:r>
              <a:r>
                <a:rPr lang="en-US" sz="1600" b="1" baseline="0">
                  <a:latin typeface="+mn-lt"/>
                </a:rPr>
                <a:t> </a:t>
              </a:r>
              <a:r>
                <a:rPr lang="en-US" sz="1600" b="0" i="0" strike="noStrike" baseline="0">
                  <a:solidFill>
                    <a:srgbClr val="000000"/>
                  </a:solidFill>
                  <a:latin typeface="+mn-lt"/>
                  <a:cs typeface="Arial" panose="020B0604020202020204" pitchFamily="34" charset="0"/>
                </a:rPr>
                <a:t>850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14</a:t>
              </a:r>
              <a:r>
                <a:rPr lang="en-US" sz="1600" b="0" i="0" strike="noStrike">
                  <a:solidFill>
                    <a:srgbClr val="000000"/>
                  </a:solidFill>
                  <a:latin typeface="+mn-lt"/>
                  <a:cs typeface="Arial" panose="020B0604020202020204" pitchFamily="34" charset="0"/>
                </a:rPr>
                <a:t> + 720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15</a:t>
              </a:r>
              <a:r>
                <a:rPr lang="en-US" sz="1600" b="0" i="0" strike="noStrike">
                  <a:solidFill>
                    <a:srgbClr val="000000"/>
                  </a:solidFill>
                  <a:latin typeface="+mn-lt"/>
                  <a:cs typeface="Arial" panose="020B0604020202020204" pitchFamily="34" charset="0"/>
                </a:rPr>
                <a:t> + 910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16</a:t>
              </a:r>
              <a:r>
                <a:rPr lang="en-US" sz="1600" b="0" i="0" strike="noStrike">
                  <a:solidFill>
                    <a:srgbClr val="000000"/>
                  </a:solidFill>
                  <a:latin typeface="+mn-lt"/>
                  <a:cs typeface="Arial" panose="020B0604020202020204" pitchFamily="34" charset="0"/>
                </a:rPr>
                <a:t> + 750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17</a:t>
              </a:r>
              <a:r>
                <a:rPr lang="en-US" sz="1600" b="0" i="0" strike="noStrike">
                  <a:solidFill>
                    <a:srgbClr val="000000"/>
                  </a:solidFill>
                  <a:latin typeface="+mn-lt"/>
                  <a:cs typeface="Arial" panose="020B0604020202020204" pitchFamily="34" charset="0"/>
                </a:rPr>
                <a:t> +  </a:t>
              </a:r>
              <a:r>
                <a:rPr lang="en-US" sz="1600" b="0" i="0" strike="noStrike" baseline="0">
                  <a:solidFill>
                    <a:srgbClr val="000000"/>
                  </a:solidFill>
                  <a:latin typeface="+mn-lt"/>
                  <a:cs typeface="Arial" panose="020B0604020202020204" pitchFamily="34" charset="0"/>
                </a:rPr>
                <a:t>970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24</a:t>
              </a:r>
              <a:r>
                <a:rPr lang="en-US" sz="1600" b="0" i="0" strike="noStrike">
                  <a:solidFill>
                    <a:srgbClr val="000000"/>
                  </a:solidFill>
                  <a:latin typeface="+mn-lt"/>
                  <a:cs typeface="Arial" panose="020B0604020202020204" pitchFamily="34" charset="0"/>
                </a:rPr>
                <a:t> + 790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25</a:t>
              </a:r>
              <a:r>
                <a:rPr lang="en-US" sz="1600" b="0" i="0" strike="noStrike">
                  <a:solidFill>
                    <a:srgbClr val="000000"/>
                  </a:solidFill>
                  <a:latin typeface="+mn-lt"/>
                  <a:cs typeface="Arial" panose="020B0604020202020204" pitchFamily="34" charset="0"/>
                </a:rPr>
                <a:t> + 1050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26</a:t>
              </a:r>
              <a:r>
                <a:rPr lang="en-US" sz="1600" b="0" i="0" strike="noStrike">
                  <a:solidFill>
                    <a:srgbClr val="000000"/>
                  </a:solidFill>
                  <a:latin typeface="+mn-lt"/>
                  <a:cs typeface="Arial" panose="020B0604020202020204" pitchFamily="34" charset="0"/>
                </a:rPr>
                <a:t> + 880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27</a:t>
              </a:r>
              <a:r>
                <a:rPr lang="en-US" sz="1600" b="0" i="0" strike="noStrike">
                  <a:solidFill>
                    <a:srgbClr val="000000"/>
                  </a:solidFill>
                  <a:latin typeface="+mn-lt"/>
                  <a:cs typeface="Arial" panose="020B0604020202020204" pitchFamily="34" charset="0"/>
                </a:rPr>
                <a:t> + </a:t>
              </a:r>
              <a:r>
                <a:rPr lang="en-US" sz="1600" b="0" i="0" strike="noStrike" baseline="0">
                  <a:solidFill>
                    <a:srgbClr val="000000"/>
                  </a:solidFill>
                  <a:latin typeface="+mn-lt"/>
                  <a:cs typeface="Arial" panose="020B0604020202020204" pitchFamily="34" charset="0"/>
                </a:rPr>
                <a:t>900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34</a:t>
              </a:r>
              <a:r>
                <a:rPr lang="en-US" sz="1600" b="0" i="0" strike="noStrike">
                  <a:solidFill>
                    <a:srgbClr val="000000"/>
                  </a:solidFill>
                  <a:latin typeface="+mn-lt"/>
                  <a:cs typeface="Arial" panose="020B0604020202020204" pitchFamily="34" charset="0"/>
                </a:rPr>
                <a:t> + 830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35</a:t>
              </a:r>
              <a:r>
                <a:rPr lang="en-US" sz="1600" b="0" i="0" strike="noStrike">
                  <a:solidFill>
                    <a:srgbClr val="000000"/>
                  </a:solidFill>
                  <a:latin typeface="+mn-lt"/>
                  <a:cs typeface="Arial" panose="020B0604020202020204" pitchFamily="34" charset="0"/>
                </a:rPr>
                <a:t> + 780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36</a:t>
              </a:r>
              <a:r>
                <a:rPr lang="en-US" sz="1600" b="0" i="0" strike="noStrike">
                  <a:solidFill>
                    <a:srgbClr val="000000"/>
                  </a:solidFill>
                  <a:latin typeface="+mn-lt"/>
                  <a:cs typeface="Arial" panose="020B0604020202020204" pitchFamily="34" charset="0"/>
                </a:rPr>
                <a:t> + 820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37</a:t>
              </a:r>
              <a:r>
                <a:rPr lang="en-US" sz="1600" b="0" i="0" strike="noStrike">
                  <a:solidFill>
                    <a:srgbClr val="000000"/>
                  </a:solidFill>
                  <a:latin typeface="+mn-lt"/>
                  <a:cs typeface="Arial" panose="020B0604020202020204" pitchFamily="34" charset="0"/>
                </a:rPr>
                <a:t>  +</a:t>
              </a:r>
              <a:r>
                <a:rPr lang="en-US" sz="1600" b="0" i="0" strike="noStrike" baseline="0">
                  <a:solidFill>
                    <a:srgbClr val="000000"/>
                  </a:solidFill>
                  <a:latin typeface="+mn-lt"/>
                  <a:cs typeface="Arial" panose="020B0604020202020204" pitchFamily="34" charset="0"/>
                </a:rPr>
                <a:t> 2,100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A4</a:t>
              </a:r>
              <a:r>
                <a:rPr lang="en-US" sz="1600" b="0" i="0" strike="noStrike">
                  <a:solidFill>
                    <a:srgbClr val="000000"/>
                  </a:solidFill>
                  <a:latin typeface="+mn-lt"/>
                  <a:cs typeface="Arial" panose="020B0604020202020204" pitchFamily="34" charset="0"/>
                </a:rPr>
                <a:t> + 2,350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A5</a:t>
              </a:r>
              <a:r>
                <a:rPr lang="en-US" sz="1600" b="0" i="0" strike="noStrike">
                  <a:solidFill>
                    <a:srgbClr val="000000"/>
                  </a:solidFill>
                  <a:latin typeface="+mn-lt"/>
                  <a:cs typeface="Arial" panose="020B0604020202020204" pitchFamily="34" charset="0"/>
                </a:rPr>
                <a:t> + 2,200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A6</a:t>
              </a:r>
              <a:r>
                <a:rPr lang="en-US" sz="1600" b="0" i="0" strike="noStrike">
                  <a:solidFill>
                    <a:srgbClr val="000000"/>
                  </a:solidFill>
                  <a:latin typeface="+mn-lt"/>
                  <a:cs typeface="Arial" panose="020B0604020202020204" pitchFamily="34" charset="0"/>
                </a:rPr>
                <a:t> + 1,900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A7</a:t>
              </a:r>
              <a:r>
                <a:rPr lang="en-US" sz="1600" b="0" i="0" strike="noStrike">
                  <a:solidFill>
                    <a:srgbClr val="000000"/>
                  </a:solidFill>
                  <a:latin typeface="+mn-lt"/>
                  <a:cs typeface="Arial" panose="020B0604020202020204" pitchFamily="34" charset="0"/>
                </a:rPr>
                <a:t> + </a:t>
              </a:r>
              <a:r>
                <a:rPr lang="en-US" sz="1600" b="0" i="0" strike="noStrike" baseline="0">
                  <a:solidFill>
                    <a:srgbClr val="000000"/>
                  </a:solidFill>
                  <a:latin typeface="+mn-lt"/>
                  <a:cs typeface="Arial" panose="020B0604020202020204" pitchFamily="34" charset="0"/>
                </a:rPr>
                <a:t>4,100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B4</a:t>
              </a:r>
              <a:r>
                <a:rPr lang="en-US" sz="1600" b="0" i="0" strike="noStrike">
                  <a:solidFill>
                    <a:srgbClr val="000000"/>
                  </a:solidFill>
                  <a:latin typeface="+mn-lt"/>
                  <a:cs typeface="Arial" panose="020B0604020202020204" pitchFamily="34" charset="0"/>
                </a:rPr>
                <a:t> + 4,300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B5</a:t>
              </a:r>
              <a:r>
                <a:rPr lang="en-US" sz="1600" b="0" i="0" strike="noStrike">
                  <a:solidFill>
                    <a:srgbClr val="000000"/>
                  </a:solidFill>
                  <a:latin typeface="+mn-lt"/>
                  <a:cs typeface="Arial" panose="020B0604020202020204" pitchFamily="34" charset="0"/>
                </a:rPr>
                <a:t> + 3,950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B6</a:t>
              </a:r>
              <a:r>
                <a:rPr lang="en-US" sz="1600" b="0" i="0" strike="noStrike">
                  <a:solidFill>
                    <a:srgbClr val="000000"/>
                  </a:solidFill>
                  <a:latin typeface="+mn-lt"/>
                  <a:cs typeface="Arial" panose="020B0604020202020204" pitchFamily="34" charset="0"/>
                </a:rPr>
                <a:t> + 3,900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B7</a:t>
              </a:r>
              <a:r>
                <a:rPr lang="en-US" sz="1600" b="0" i="0" strike="noStrike">
                  <a:solidFill>
                    <a:srgbClr val="000000"/>
                  </a:solidFill>
                  <a:latin typeface="+mn-lt"/>
                  <a:cs typeface="Arial" panose="020B0604020202020204" pitchFamily="34" charset="0"/>
                </a:rPr>
                <a:t> +</a:t>
              </a:r>
              <a:r>
                <a:rPr lang="en-US" sz="1600" b="0" i="0" strike="noStrike" baseline="0">
                  <a:solidFill>
                    <a:srgbClr val="000000"/>
                  </a:solidFill>
                  <a:latin typeface="+mn-lt"/>
                  <a:cs typeface="Arial" panose="020B0604020202020204" pitchFamily="34" charset="0"/>
                </a:rPr>
                <a:t>2,600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C4</a:t>
              </a:r>
              <a:r>
                <a:rPr lang="en-US" sz="1600" b="0" i="0" strike="noStrike">
                  <a:solidFill>
                    <a:srgbClr val="000000"/>
                  </a:solidFill>
                  <a:latin typeface="+mn-lt"/>
                  <a:cs typeface="Arial" panose="020B0604020202020204" pitchFamily="34" charset="0"/>
                </a:rPr>
                <a:t> + 2,300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C5</a:t>
              </a:r>
              <a:r>
                <a:rPr lang="en-US" sz="1600" b="0" i="0" strike="noStrike">
                  <a:solidFill>
                    <a:srgbClr val="000000"/>
                  </a:solidFill>
                  <a:latin typeface="+mn-lt"/>
                  <a:cs typeface="Arial" panose="020B0604020202020204" pitchFamily="34" charset="0"/>
                </a:rPr>
                <a:t> + 2,500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C6</a:t>
              </a:r>
              <a:r>
                <a:rPr lang="en-US" sz="1600" b="0" i="0" strike="noStrike">
                  <a:solidFill>
                    <a:srgbClr val="000000"/>
                  </a:solidFill>
                  <a:latin typeface="+mn-lt"/>
                  <a:cs typeface="Arial" panose="020B0604020202020204" pitchFamily="34" charset="0"/>
                </a:rPr>
                <a:t> + 2,800</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C7</a:t>
              </a:r>
              <a:r>
                <a:rPr lang="en-US" sz="1600" b="0" i="0" strike="noStrike">
                  <a:solidFill>
                    <a:srgbClr val="000000"/>
                  </a:solidFill>
                  <a:latin typeface="+mn-lt"/>
                  <a:cs typeface="Arial" panose="020B0604020202020204" pitchFamily="34" charset="0"/>
                </a:rPr>
                <a:t>  </a:t>
              </a:r>
            </a:p>
            <a:p>
              <a:endParaRPr lang="en-US" sz="1600" b="0" i="0" strike="noStrike">
                <a:solidFill>
                  <a:srgbClr val="000000"/>
                </a:solidFill>
                <a:latin typeface="+mn-lt"/>
                <a:cs typeface="Arial" panose="020B0604020202020204" pitchFamily="34" charset="0"/>
              </a:endParaRPr>
            </a:p>
            <a:p>
              <a:endParaRPr lang="en-US" sz="1600" b="1">
                <a:latin typeface="+mn-lt"/>
              </a:endParaRPr>
            </a:p>
            <a:p>
              <a:r>
                <a:rPr lang="en-US" sz="1600" b="1">
                  <a:latin typeface="+mn-lt"/>
                </a:rPr>
                <a:t>Shipping Constraints:</a:t>
              </a:r>
            </a:p>
            <a:p>
              <a:pPr marL="0" marR="0" lvl="0" indent="0" defTabSz="914400" eaLnBrk="1" fontAlgn="auto" latinLnBrk="0" hangingPunct="1">
                <a:lnSpc>
                  <a:spcPct val="100000"/>
                </a:lnSpc>
                <a:spcBef>
                  <a:spcPts val="0"/>
                </a:spcBef>
                <a:spcAft>
                  <a:spcPts val="0"/>
                </a:spcAft>
                <a:buClrTx/>
                <a:buSzTx/>
                <a:buFontTx/>
                <a:buNone/>
                <a:tabLst/>
                <a:defRPr/>
              </a:pP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17 </a:t>
              </a:r>
              <a:r>
                <a:rPr lang="en-US" sz="1600" b="1" i="0">
                  <a:latin typeface="Cambria Math" panose="02040503050406030204" pitchFamily="18" charset="0"/>
                  <a:ea typeface="Cambria Math" panose="02040503050406030204" pitchFamily="18" charset="0"/>
                </a:rPr>
                <a:t>≤</a:t>
              </a:r>
              <a:r>
                <a:rPr lang="en-US" sz="1600" b="1">
                  <a:latin typeface="+mn-lt"/>
                </a:rPr>
                <a:t> </a:t>
              </a:r>
              <a:r>
                <a:rPr lang="en-US" sz="1600" b="0">
                  <a:latin typeface="+mn-lt"/>
                </a:rPr>
                <a:t>1,400 (</a:t>
              </a:r>
              <a:r>
                <a:rPr lang="en-US" sz="1600">
                  <a:latin typeface="+mn-lt"/>
                </a:rPr>
                <a:t>New</a:t>
              </a:r>
              <a:r>
                <a:rPr lang="en-US" sz="1600" baseline="0">
                  <a:latin typeface="+mn-lt"/>
                </a:rPr>
                <a:t> York Available Supply)</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27 </a:t>
              </a:r>
              <a:r>
                <a:rPr lang="en-US" sz="1600" b="1" i="0">
                  <a:latin typeface="Cambria Math" panose="02040503050406030204" pitchFamily="18" charset="0"/>
                  <a:ea typeface="Cambria Math" panose="02040503050406030204" pitchFamily="18" charset="0"/>
                </a:rPr>
                <a:t>≤</a:t>
              </a:r>
              <a:r>
                <a:rPr lang="en-US" sz="1600" b="1">
                  <a:latin typeface="+mn-lt"/>
                </a:rPr>
                <a:t> </a:t>
              </a:r>
              <a:r>
                <a:rPr lang="en-US" sz="1600" b="0">
                  <a:latin typeface="+mn-lt"/>
                </a:rPr>
                <a:t>1,100 (</a:t>
              </a:r>
              <a:r>
                <a:rPr lang="en-US" sz="1600">
                  <a:latin typeface="+mn-lt"/>
                </a:rPr>
                <a:t>Pennsylvania</a:t>
              </a:r>
              <a:r>
                <a:rPr lang="en-US" sz="1600" baseline="0">
                  <a:latin typeface="+mn-lt"/>
                </a:rPr>
                <a:t> Available Supply)</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37 </a:t>
              </a:r>
              <a:r>
                <a:rPr lang="en-US" sz="1600" b="1" i="0">
                  <a:latin typeface="Cambria Math" panose="02040503050406030204" pitchFamily="18" charset="0"/>
                  <a:ea typeface="Cambria Math" panose="02040503050406030204" pitchFamily="18" charset="0"/>
                </a:rPr>
                <a:t>≤</a:t>
              </a:r>
              <a:r>
                <a:rPr lang="en-US" sz="1600" b="1">
                  <a:latin typeface="+mn-lt"/>
                </a:rPr>
                <a:t> </a:t>
              </a:r>
              <a:r>
                <a:rPr lang="en-US" sz="1600" b="0">
                  <a:latin typeface="+mn-lt"/>
                </a:rPr>
                <a:t>1,700 (Ohio </a:t>
              </a:r>
              <a:r>
                <a:rPr lang="en-US" sz="1600" baseline="0">
                  <a:latin typeface="+mn-lt"/>
                </a:rPr>
                <a:t>Available Supply)</a:t>
              </a:r>
              <a:endParaRPr lang="en-US" sz="1600" b="0">
                <a:latin typeface="+mn-lt"/>
              </a:endParaRPr>
            </a:p>
            <a:p>
              <a:endParaRPr lang="en-US" sz="1600" b="1" baseline="0">
                <a:latin typeface="+mn-lt"/>
              </a:endParaRPr>
            </a:p>
            <a:p>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34 </a:t>
              </a:r>
              <a:r>
                <a:rPr lang="en-US" sz="1600" b="1" i="0">
                  <a:latin typeface="Cambria Math" panose="02040503050406030204" pitchFamily="18" charset="0"/>
                  <a:ea typeface="Cambria Math" panose="02040503050406030204" pitchFamily="18" charset="0"/>
                </a:rPr>
                <a:t>≤</a:t>
              </a:r>
              <a:r>
                <a:rPr lang="en-US" sz="1600" b="1">
                  <a:latin typeface="+mn-lt"/>
                </a:rPr>
                <a:t> </a:t>
              </a:r>
              <a:r>
                <a:rPr lang="en-US" sz="1600" b="0">
                  <a:latin typeface="+mn-lt"/>
                </a:rPr>
                <a:t>1,200 (Virginia</a:t>
              </a:r>
              <a:r>
                <a:rPr lang="en-US" sz="1600" b="0" baseline="0">
                  <a:latin typeface="+mn-lt"/>
                </a:rPr>
                <a:t> Capacity)</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35 </a:t>
              </a:r>
              <a:r>
                <a:rPr lang="en-US" sz="1600" b="1" i="0">
                  <a:latin typeface="Cambria Math" panose="02040503050406030204" pitchFamily="18" charset="0"/>
                  <a:ea typeface="Cambria Math" panose="02040503050406030204" pitchFamily="18" charset="0"/>
                </a:rPr>
                <a:t>≤</a:t>
              </a:r>
              <a:r>
                <a:rPr lang="en-US" sz="1600" b="1">
                  <a:latin typeface="+mn-lt"/>
                </a:rPr>
                <a:t> </a:t>
              </a:r>
              <a:r>
                <a:rPr lang="en-US" sz="1600" b="0">
                  <a:latin typeface="+mn-lt"/>
                </a:rPr>
                <a:t>1,100 (Michigan</a:t>
              </a:r>
              <a:r>
                <a:rPr lang="en-US" sz="1600" b="0" baseline="0">
                  <a:latin typeface="+mn-lt"/>
                </a:rPr>
                <a:t> Capacity)</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36 </a:t>
              </a:r>
              <a:r>
                <a:rPr lang="en-US" sz="1600" b="1" i="0">
                  <a:latin typeface="Cambria Math" panose="02040503050406030204" pitchFamily="18" charset="0"/>
                  <a:ea typeface="Cambria Math" panose="02040503050406030204" pitchFamily="18" charset="0"/>
                </a:rPr>
                <a:t>≤</a:t>
              </a:r>
              <a:r>
                <a:rPr lang="en-US" sz="1600" b="1">
                  <a:latin typeface="+mn-lt"/>
                </a:rPr>
                <a:t> </a:t>
              </a:r>
              <a:r>
                <a:rPr lang="en-US" sz="1600" b="0">
                  <a:latin typeface="+mn-lt"/>
                </a:rPr>
                <a:t>1,400 (Tennessee</a:t>
              </a:r>
              <a:r>
                <a:rPr lang="en-US" sz="1600" b="0" baseline="0">
                  <a:latin typeface="+mn-lt"/>
                </a:rPr>
                <a:t> Capacity)</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17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27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37 </a:t>
              </a:r>
              <a:r>
                <a:rPr lang="en-US" sz="1600" b="1" i="0">
                  <a:latin typeface="Cambria Math" panose="02040503050406030204" pitchFamily="18" charset="0"/>
                  <a:ea typeface="Cambria Math" panose="02040503050406030204" pitchFamily="18" charset="0"/>
                </a:rPr>
                <a:t>≤</a:t>
              </a:r>
              <a:r>
                <a:rPr lang="en-US" sz="1600" b="1">
                  <a:latin typeface="+mn-lt"/>
                </a:rPr>
                <a:t> </a:t>
              </a:r>
              <a:r>
                <a:rPr lang="en-US" sz="1600" b="0">
                  <a:latin typeface="+mn-lt"/>
                </a:rPr>
                <a:t>1,400 (Indiana</a:t>
              </a:r>
              <a:r>
                <a:rPr lang="en-US" sz="1600" b="0" baseline="0">
                  <a:latin typeface="+mn-lt"/>
                </a:rPr>
                <a:t> Capacity)</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aseline="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1" baseline="0">
                  <a:latin typeface="+mn-lt"/>
                  <a:cs typeface="Arial" panose="020B0604020202020204" pitchFamily="34" charset="0"/>
                </a:rPr>
                <a:t>Processing Constraints:</a:t>
              </a:r>
              <a:endParaRPr lang="en-US" sz="1600" baseline="0">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A7 </a:t>
              </a:r>
              <a:r>
                <a:rPr lang="en-US" sz="1600" b="1" i="0">
                  <a:latin typeface="Cambria Math" panose="02040503050406030204" pitchFamily="18" charset="0"/>
                  <a:ea typeface="Cambria Math" panose="02040503050406030204" pitchFamily="18" charset="0"/>
                </a:rPr>
                <a:t>=</a:t>
              </a:r>
              <a:r>
                <a:rPr lang="en-US" sz="1600" b="1">
                  <a:latin typeface="+mn-lt"/>
                </a:rPr>
                <a:t> </a:t>
              </a:r>
              <a:r>
                <a:rPr lang="en-US" sz="1600" b="0">
                  <a:latin typeface="+mn-lt"/>
                </a:rPr>
                <a:t>1,200 (Juice Demand</a:t>
              </a:r>
              <a:r>
                <a:rPr lang="en-US" sz="1600" baseline="0">
                  <a:latin typeface="+mn-lt"/>
                </a:rPr>
                <a:t>)</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B7 </a:t>
              </a:r>
              <a:r>
                <a:rPr lang="en-US" sz="1600" b="1" i="0">
                  <a:latin typeface="Cambria Math" panose="02040503050406030204" pitchFamily="18" charset="0"/>
                  <a:ea typeface="Cambria Math" panose="02040503050406030204" pitchFamily="18" charset="0"/>
                </a:rPr>
                <a:t>=</a:t>
              </a:r>
              <a:r>
                <a:rPr lang="en-US" sz="1600" b="1">
                  <a:latin typeface="+mn-lt"/>
                </a:rPr>
                <a:t> </a:t>
              </a:r>
              <a:r>
                <a:rPr lang="en-US" sz="1600" b="0">
                  <a:latin typeface="+mn-lt"/>
                </a:rPr>
                <a:t>900 (Concentrate Demand</a:t>
              </a:r>
              <a:r>
                <a:rPr lang="en-US" sz="1600" baseline="0">
                  <a:latin typeface="+mn-lt"/>
                </a:rPr>
                <a:t>)</a:t>
              </a:r>
              <a:endParaRPr lang="en-US" sz="1600" b="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C4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C5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C6 </a:t>
              </a:r>
              <a:r>
                <a:rPr lang="en-US" sz="1600" baseline="0">
                  <a:latin typeface="+mn-lt"/>
                  <a:cs typeface="Arial" panose="020B0604020202020204" pitchFamily="34" charset="0"/>
                </a:rPr>
                <a:t>+ </a:t>
              </a: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C7 </a:t>
              </a:r>
              <a:r>
                <a:rPr lang="en-US" sz="1600" b="1" i="0">
                  <a:latin typeface="Cambria Math" panose="02040503050406030204" pitchFamily="18" charset="0"/>
                  <a:ea typeface="Cambria Math" panose="02040503050406030204" pitchFamily="18" charset="0"/>
                </a:rPr>
                <a:t>=</a:t>
              </a:r>
              <a:r>
                <a:rPr lang="en-US" sz="1600" b="1">
                  <a:latin typeface="+mn-lt"/>
                </a:rPr>
                <a:t> </a:t>
              </a:r>
              <a:r>
                <a:rPr lang="en-US" sz="1600" b="0">
                  <a:latin typeface="+mn-lt"/>
                </a:rPr>
                <a:t>1,050 (Jelly Demand</a:t>
              </a:r>
              <a:r>
                <a:rPr lang="en-US" sz="1600" baseline="0">
                  <a:latin typeface="+mn-lt"/>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0" baseline="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14</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24</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34</a:t>
              </a:r>
              <a:r>
                <a:rPr lang="en-US" sz="1600" b="0" i="0">
                  <a:solidFill>
                    <a:schemeClr val="dk1"/>
                  </a:solidFill>
                  <a:effectLst/>
                  <a:latin typeface="+mn-lt"/>
                  <a:ea typeface="+mn-ea"/>
                  <a:cs typeface="+mn-cs"/>
                </a:rPr>
                <a:t>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A4</a:t>
              </a:r>
              <a:r>
                <a:rPr lang="en-US" sz="1600" b="0" i="0">
                  <a:solidFill>
                    <a:schemeClr val="dk1"/>
                  </a:solidFill>
                  <a:effectLst/>
                  <a:latin typeface="+mn-lt"/>
                  <a:ea typeface="+mn-ea"/>
                  <a:cs typeface="+mn-cs"/>
                </a:rPr>
                <a:t> +2*</a:t>
              </a:r>
              <a:r>
                <a:rPr lang="en-US" sz="1600" b="0" i="0" baseline="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B4</a:t>
              </a:r>
              <a:r>
                <a:rPr lang="en-US" sz="1600" b="0" i="0">
                  <a:solidFill>
                    <a:schemeClr val="dk1"/>
                  </a:solidFill>
                  <a:effectLst/>
                  <a:latin typeface="+mn-lt"/>
                  <a:ea typeface="+mn-ea"/>
                  <a:cs typeface="+mn-cs"/>
                </a:rPr>
                <a:t> +1.5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C4  </a:t>
              </a:r>
              <a:r>
                <a:rPr lang="en-US" sz="1600" b="0">
                  <a:latin typeface="+mn-lt"/>
                </a:rPr>
                <a:t>(</a:t>
              </a:r>
              <a:r>
                <a:rPr lang="en-US" sz="1600" b="0" baseline="0">
                  <a:latin typeface="+mn-lt"/>
                </a:rPr>
                <a:t>Unprocessed Juice/Product Ratio)</a:t>
              </a:r>
              <a:endParaRPr lang="en-US" sz="1600" b="0" i="0" baseline="-250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15</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25</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35</a:t>
              </a:r>
              <a:r>
                <a:rPr lang="en-US" sz="1600" b="0" i="0">
                  <a:solidFill>
                    <a:schemeClr val="dk1"/>
                  </a:solidFill>
                  <a:effectLst/>
                  <a:latin typeface="+mn-lt"/>
                  <a:ea typeface="+mn-ea"/>
                  <a:cs typeface="+mn-cs"/>
                </a:rPr>
                <a:t>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A5</a:t>
              </a:r>
              <a:r>
                <a:rPr lang="en-US" sz="1600" b="0" i="0">
                  <a:solidFill>
                    <a:schemeClr val="dk1"/>
                  </a:solidFill>
                  <a:effectLst/>
                  <a:latin typeface="+mn-lt"/>
                  <a:ea typeface="+mn-ea"/>
                  <a:cs typeface="+mn-cs"/>
                </a:rPr>
                <a:t> +2*</a:t>
              </a:r>
              <a:r>
                <a:rPr lang="en-US" sz="1600" b="0" i="0" baseline="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B5</a:t>
              </a:r>
              <a:r>
                <a:rPr lang="en-US" sz="1600" b="0" i="0">
                  <a:solidFill>
                    <a:schemeClr val="dk1"/>
                  </a:solidFill>
                  <a:effectLst/>
                  <a:latin typeface="+mn-lt"/>
                  <a:ea typeface="+mn-ea"/>
                  <a:cs typeface="+mn-cs"/>
                </a:rPr>
                <a:t> +1.5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C5 </a:t>
              </a:r>
              <a:r>
                <a:rPr lang="en-US" sz="1600" b="0">
                  <a:latin typeface="+mn-lt"/>
                </a:rPr>
                <a:t>(</a:t>
              </a:r>
              <a:r>
                <a:rPr lang="en-US" sz="1600" b="0" baseline="0">
                  <a:latin typeface="+mn-lt"/>
                </a:rPr>
                <a:t>Unprocessed Juice/Product Ratio</a:t>
              </a:r>
              <a:r>
                <a:rPr lang="en-US" sz="1600" baseline="0">
                  <a:latin typeface="+mn-lt"/>
                </a:rPr>
                <a:t>)</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16</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26</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36</a:t>
              </a:r>
              <a:r>
                <a:rPr lang="en-US" sz="1600" b="0" i="0">
                  <a:solidFill>
                    <a:schemeClr val="dk1"/>
                  </a:solidFill>
                  <a:effectLst/>
                  <a:latin typeface="+mn-lt"/>
                  <a:ea typeface="+mn-ea"/>
                  <a:cs typeface="+mn-cs"/>
                </a:rPr>
                <a:t>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A6</a:t>
              </a:r>
              <a:r>
                <a:rPr lang="en-US" sz="1600" b="0" i="0">
                  <a:solidFill>
                    <a:schemeClr val="dk1"/>
                  </a:solidFill>
                  <a:effectLst/>
                  <a:latin typeface="+mn-lt"/>
                  <a:ea typeface="+mn-ea"/>
                  <a:cs typeface="+mn-cs"/>
                </a:rPr>
                <a:t> +2*</a:t>
              </a:r>
              <a:r>
                <a:rPr lang="en-US" sz="1600" b="0" i="0" baseline="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B6</a:t>
              </a:r>
              <a:r>
                <a:rPr lang="en-US" sz="1600" b="0" i="0">
                  <a:solidFill>
                    <a:schemeClr val="dk1"/>
                  </a:solidFill>
                  <a:effectLst/>
                  <a:latin typeface="+mn-lt"/>
                  <a:ea typeface="+mn-ea"/>
                  <a:cs typeface="+mn-cs"/>
                </a:rPr>
                <a:t> +1.5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C6 </a:t>
              </a:r>
              <a:r>
                <a:rPr lang="en-US" sz="1600" b="0">
                  <a:latin typeface="+mn-lt"/>
                </a:rPr>
                <a:t>(</a:t>
              </a:r>
              <a:r>
                <a:rPr lang="en-US" sz="1600" b="0" baseline="0">
                  <a:latin typeface="+mn-lt"/>
                </a:rPr>
                <a:t>Unprocessed Juice/Product Ratio</a:t>
              </a:r>
              <a:r>
                <a:rPr lang="en-US" sz="1600" baseline="0">
                  <a:latin typeface="+mn-lt"/>
                </a:rPr>
                <a:t>)</a:t>
              </a:r>
              <a:endParaRPr lang="en-US" sz="1600" b="0" i="0" baseline="-250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17</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27</a:t>
              </a:r>
              <a:r>
                <a:rPr lang="en-US" sz="1600" b="0" i="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37</a:t>
              </a:r>
              <a:r>
                <a:rPr lang="en-US" sz="1600" b="0" i="0">
                  <a:solidFill>
                    <a:schemeClr val="dk1"/>
                  </a:solidFill>
                  <a:effectLst/>
                  <a:latin typeface="+mn-lt"/>
                  <a:ea typeface="+mn-ea"/>
                  <a:cs typeface="+mn-cs"/>
                </a:rPr>
                <a:t>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A7</a:t>
              </a:r>
              <a:r>
                <a:rPr lang="en-US" sz="1600" b="0" i="0">
                  <a:solidFill>
                    <a:schemeClr val="dk1"/>
                  </a:solidFill>
                  <a:effectLst/>
                  <a:latin typeface="+mn-lt"/>
                  <a:ea typeface="+mn-ea"/>
                  <a:cs typeface="+mn-cs"/>
                </a:rPr>
                <a:t> +2*</a:t>
              </a:r>
              <a:r>
                <a:rPr lang="en-US" sz="1600" b="0" i="0" baseline="0">
                  <a:solidFill>
                    <a:schemeClr val="dk1"/>
                  </a:solidFill>
                  <a:effectLst/>
                  <a:latin typeface="+mn-lt"/>
                  <a:ea typeface="+mn-ea"/>
                  <a:cs typeface="+mn-cs"/>
                </a:rPr>
                <a:t>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B7</a:t>
              </a:r>
              <a:r>
                <a:rPr lang="en-US" sz="1600" b="0" i="0">
                  <a:solidFill>
                    <a:schemeClr val="dk1"/>
                  </a:solidFill>
                  <a:effectLst/>
                  <a:latin typeface="+mn-lt"/>
                  <a:ea typeface="+mn-ea"/>
                  <a:cs typeface="+mn-cs"/>
                </a:rPr>
                <a:t> +1.5 * </a:t>
              </a:r>
              <a:r>
                <a:rPr lang="en-US" sz="1600" b="0" i="1">
                  <a:solidFill>
                    <a:schemeClr val="dk1"/>
                  </a:solidFill>
                  <a:effectLst/>
                  <a:latin typeface="+mn-lt"/>
                  <a:ea typeface="+mn-ea"/>
                  <a:cs typeface="+mn-cs"/>
                </a:rPr>
                <a:t>x</a:t>
              </a:r>
              <a:r>
                <a:rPr lang="en-US" sz="1600" b="0" i="0" baseline="-25000">
                  <a:solidFill>
                    <a:schemeClr val="dk1"/>
                  </a:solidFill>
                  <a:effectLst/>
                  <a:latin typeface="+mn-lt"/>
                  <a:ea typeface="+mn-ea"/>
                  <a:cs typeface="+mn-cs"/>
                </a:rPr>
                <a:t>C7  </a:t>
              </a:r>
              <a:r>
                <a:rPr lang="en-US" sz="1600" b="0">
                  <a:latin typeface="+mn-lt"/>
                </a:rPr>
                <a:t>(</a:t>
              </a:r>
              <a:r>
                <a:rPr lang="en-US" sz="1600" b="0" baseline="0">
                  <a:latin typeface="+mn-lt"/>
                </a:rPr>
                <a:t>Unprocessed Juice/Product Ratio</a:t>
              </a:r>
              <a:r>
                <a:rPr lang="en-US" sz="1600" baseline="0">
                  <a:latin typeface="+mn-lt"/>
                </a:rPr>
                <a:t>)</a:t>
              </a:r>
              <a:endParaRPr lang="en-US" sz="16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600" b="0" baseline="0">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i="1" strike="noStrike">
                  <a:solidFill>
                    <a:srgbClr val="000000"/>
                  </a:solidFill>
                  <a:latin typeface="+mn-lt"/>
                  <a:cs typeface="Arial" panose="020B0604020202020204" pitchFamily="34" charset="0"/>
                </a:rPr>
                <a:t>x</a:t>
              </a:r>
              <a:r>
                <a:rPr lang="en-US" sz="1600" b="0" i="0" strike="noStrike" baseline="-25000">
                  <a:solidFill>
                    <a:srgbClr val="000000"/>
                  </a:solidFill>
                  <a:latin typeface="+mn-lt"/>
                  <a:cs typeface="Arial" panose="020B0604020202020204" pitchFamily="34" charset="0"/>
                </a:rPr>
                <a:t>ij </a:t>
              </a:r>
              <a:r>
                <a:rPr lang="en-US" sz="1600" b="1" i="0">
                  <a:latin typeface="Cambria Math" panose="02040503050406030204" pitchFamily="18" charset="0"/>
                  <a:ea typeface="Cambria Math" panose="02040503050406030204" pitchFamily="18" charset="0"/>
                </a:rPr>
                <a:t>≥ </a:t>
              </a:r>
              <a:r>
                <a:rPr lang="en-US" sz="1600" b="0" baseline="0">
                  <a:latin typeface="+mn-lt"/>
                </a:rPr>
                <a:t>0</a:t>
              </a:r>
              <a:endParaRPr lang="en-US" sz="1600" b="1" baseline="0">
                <a:latin typeface="+mn-lt"/>
              </a:endParaRPr>
            </a:p>
            <a:p>
              <a:endParaRPr lang="en-US" sz="1600" baseline="0"/>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793751</xdr:colOff>
      <xdr:row>18</xdr:row>
      <xdr:rowOff>158750</xdr:rowOff>
    </xdr:from>
    <xdr:to>
      <xdr:col>7</xdr:col>
      <xdr:colOff>375228</xdr:colOff>
      <xdr:row>24</xdr:row>
      <xdr:rowOff>187614</xdr:rowOff>
    </xdr:to>
    <xdr:sp macro="" textlink="">
      <xdr:nvSpPr>
        <xdr:cNvPr id="2" name="TextBox 1">
          <a:extLst>
            <a:ext uri="{FF2B5EF4-FFF2-40B4-BE49-F238E27FC236}">
              <a16:creationId xmlns:a16="http://schemas.microsoft.com/office/drawing/2014/main" id="{22CC0061-EF14-2C5A-220A-6FA5CB2AF3A7}"/>
            </a:ext>
          </a:extLst>
        </xdr:cNvPr>
        <xdr:cNvSpPr txBox="1"/>
      </xdr:nvSpPr>
      <xdr:spPr>
        <a:xfrm>
          <a:off x="4026478" y="5094432"/>
          <a:ext cx="4300682" cy="16740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Times New Roman" panose="02020603050405020304" pitchFamily="18" charset="0"/>
              <a:cs typeface="Times New Roman" panose="02020603050405020304" pitchFamily="18" charset="0"/>
            </a:rPr>
            <a:t>Based on the sensitivity report,</a:t>
          </a:r>
          <a:r>
            <a:rPr lang="en-US" sz="1600" baseline="0">
              <a:latin typeface="Times New Roman" panose="02020603050405020304" pitchFamily="18" charset="0"/>
              <a:cs typeface="Times New Roman" panose="02020603050405020304" pitchFamily="18" charset="0"/>
            </a:rPr>
            <a:t> we can only increase the Tenessee capacity and New York availability to further lower cost.</a:t>
          </a:r>
        </a:p>
        <a:p>
          <a:endParaRPr lang="en-US" sz="1600" baseline="0">
            <a:latin typeface="Times New Roman" panose="02020603050405020304" pitchFamily="18" charset="0"/>
            <a:cs typeface="Times New Roman" panose="02020603050405020304" pitchFamily="18" charset="0"/>
          </a:endParaRPr>
        </a:p>
        <a:p>
          <a:r>
            <a:rPr lang="en-US" sz="1600" baseline="0">
              <a:latin typeface="Times New Roman" panose="02020603050405020304" pitchFamily="18" charset="0"/>
              <a:cs typeface="Times New Roman" panose="02020603050405020304" pitchFamily="18" charset="0"/>
            </a:rPr>
            <a:t>Tenessee Allowable Increase: 150 units</a:t>
          </a:r>
        </a:p>
        <a:p>
          <a:r>
            <a:rPr lang="en-US" sz="1600" baseline="0">
              <a:latin typeface="Times New Roman" panose="02020603050405020304" pitchFamily="18" charset="0"/>
              <a:cs typeface="Times New Roman" panose="02020603050405020304" pitchFamily="18" charset="0"/>
            </a:rPr>
            <a:t>New York Allowable Increase: 1,100 units</a:t>
          </a:r>
          <a:endParaRPr lang="en-US" sz="1600">
            <a:latin typeface="Times New Roman" panose="02020603050405020304" pitchFamily="18" charset="0"/>
            <a:cs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165100</xdr:colOff>
      <xdr:row>17</xdr:row>
      <xdr:rowOff>101600</xdr:rowOff>
    </xdr:from>
    <xdr:to>
      <xdr:col>14</xdr:col>
      <xdr:colOff>393700</xdr:colOff>
      <xdr:row>23</xdr:row>
      <xdr:rowOff>114300</xdr:rowOff>
    </xdr:to>
    <xdr:sp macro="" textlink="">
      <xdr:nvSpPr>
        <xdr:cNvPr id="2" name="TextBox 1">
          <a:extLst>
            <a:ext uri="{FF2B5EF4-FFF2-40B4-BE49-F238E27FC236}">
              <a16:creationId xmlns:a16="http://schemas.microsoft.com/office/drawing/2014/main" id="{F2141E6F-8B51-1345-B118-229C4494AE8A}"/>
            </a:ext>
          </a:extLst>
        </xdr:cNvPr>
        <xdr:cNvSpPr txBox="1"/>
      </xdr:nvSpPr>
      <xdr:spPr>
        <a:xfrm>
          <a:off x="8623300" y="3594100"/>
          <a:ext cx="4356100" cy="1257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Times New Roman" panose="02020603050405020304" pitchFamily="18" charset="0"/>
              <a:cs typeface="Times New Roman" panose="02020603050405020304" pitchFamily="18" charset="0"/>
            </a:rPr>
            <a:t>Tennessee</a:t>
          </a:r>
          <a:r>
            <a:rPr lang="en-US" sz="1600" baseline="0">
              <a:latin typeface="Times New Roman" panose="02020603050405020304" pitchFamily="18" charset="0"/>
              <a:cs typeface="Times New Roman" panose="02020603050405020304" pitchFamily="18" charset="0"/>
            </a:rPr>
            <a:t> Capacity not increased since it reached the maximum allowable increase of 150. New York Availability Increased by another 500 units. Total cost reduced from $10,534,750 to $10,499,750.</a:t>
          </a:r>
        </a:p>
        <a:p>
          <a:endParaRPr lang="en-US" sz="1600" baseline="0">
            <a:latin typeface="Times New Roman" panose="02020603050405020304" pitchFamily="18" charset="0"/>
            <a:cs typeface="Times New Roman" panose="02020603050405020304" pitchFamily="18" charset="0"/>
          </a:endParaRPr>
        </a:p>
        <a:p>
          <a:endParaRPr lang="en-US" sz="1600">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0</xdr:colOff>
      <xdr:row>14</xdr:row>
      <xdr:rowOff>1</xdr:rowOff>
    </xdr:from>
    <xdr:to>
      <xdr:col>13</xdr:col>
      <xdr:colOff>50800</xdr:colOff>
      <xdr:row>18</xdr:row>
      <xdr:rowOff>25401</xdr:rowOff>
    </xdr:to>
    <xdr:sp macro="" textlink="">
      <xdr:nvSpPr>
        <xdr:cNvPr id="2" name="TextBox 1">
          <a:extLst>
            <a:ext uri="{FF2B5EF4-FFF2-40B4-BE49-F238E27FC236}">
              <a16:creationId xmlns:a16="http://schemas.microsoft.com/office/drawing/2014/main" id="{0ADE0768-3245-914B-8361-ABD20840A6B3}"/>
            </a:ext>
          </a:extLst>
        </xdr:cNvPr>
        <xdr:cNvSpPr txBox="1"/>
      </xdr:nvSpPr>
      <xdr:spPr>
        <a:xfrm>
          <a:off x="7454900" y="2857501"/>
          <a:ext cx="4178300"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Times New Roman" panose="02020603050405020304" pitchFamily="18" charset="0"/>
              <a:cs typeface="Times New Roman" panose="02020603050405020304" pitchFamily="18" charset="0"/>
            </a:rPr>
            <a:t>Tennessee</a:t>
          </a:r>
          <a:r>
            <a:rPr lang="en-US" sz="1600" baseline="0">
              <a:latin typeface="Times New Roman" panose="02020603050405020304" pitchFamily="18" charset="0"/>
              <a:cs typeface="Times New Roman" panose="02020603050405020304" pitchFamily="18" charset="0"/>
            </a:rPr>
            <a:t> Capacity Increased by 50 units. New York Availability Increased by 50 units. Total cost reduced from $10,606,000 to $10,592,750.</a:t>
          </a:r>
        </a:p>
        <a:p>
          <a:endParaRPr lang="en-US" sz="1600" baseline="0">
            <a:latin typeface="Times New Roman" panose="02020603050405020304" pitchFamily="18" charset="0"/>
            <a:cs typeface="Times New Roman" panose="02020603050405020304" pitchFamily="18" charset="0"/>
          </a:endParaRPr>
        </a:p>
        <a:p>
          <a:endParaRPr lang="en-US" sz="1600">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520700</xdr:colOff>
      <xdr:row>17</xdr:row>
      <xdr:rowOff>139700</xdr:rowOff>
    </xdr:from>
    <xdr:to>
      <xdr:col>13</xdr:col>
      <xdr:colOff>571500</xdr:colOff>
      <xdr:row>23</xdr:row>
      <xdr:rowOff>12700</xdr:rowOff>
    </xdr:to>
    <xdr:sp macro="" textlink="">
      <xdr:nvSpPr>
        <xdr:cNvPr id="2" name="TextBox 1">
          <a:extLst>
            <a:ext uri="{FF2B5EF4-FFF2-40B4-BE49-F238E27FC236}">
              <a16:creationId xmlns:a16="http://schemas.microsoft.com/office/drawing/2014/main" id="{BE0874CA-AACD-6E4A-ADE9-19CA3214EFD0}"/>
            </a:ext>
          </a:extLst>
        </xdr:cNvPr>
        <xdr:cNvSpPr txBox="1"/>
      </xdr:nvSpPr>
      <xdr:spPr>
        <a:xfrm>
          <a:off x="8153400" y="3632200"/>
          <a:ext cx="4178300" cy="111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Times New Roman" panose="02020603050405020304" pitchFamily="18" charset="0"/>
              <a:cs typeface="Times New Roman" panose="02020603050405020304" pitchFamily="18" charset="0"/>
            </a:rPr>
            <a:t>Tennessee</a:t>
          </a:r>
          <a:r>
            <a:rPr lang="en-US" sz="1600" baseline="0">
              <a:latin typeface="Times New Roman" panose="02020603050405020304" pitchFamily="18" charset="0"/>
              <a:cs typeface="Times New Roman" panose="02020603050405020304" pitchFamily="18" charset="0"/>
            </a:rPr>
            <a:t> Capacity Increased by another 50 units. New York Availability Increased by another 50 units.  Total cost reduced from $10,592,750 to $10,579,500.</a:t>
          </a:r>
        </a:p>
        <a:p>
          <a:endParaRPr lang="en-US" sz="1600" baseline="0">
            <a:latin typeface="Times New Roman" panose="02020603050405020304" pitchFamily="18" charset="0"/>
            <a:cs typeface="Times New Roman" panose="02020603050405020304" pitchFamily="18" charset="0"/>
          </a:endParaRPr>
        </a:p>
        <a:p>
          <a:endParaRPr lang="en-US" sz="1600">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685800</xdr:colOff>
      <xdr:row>18</xdr:row>
      <xdr:rowOff>76200</xdr:rowOff>
    </xdr:from>
    <xdr:to>
      <xdr:col>13</xdr:col>
      <xdr:colOff>736600</xdr:colOff>
      <xdr:row>23</xdr:row>
      <xdr:rowOff>152400</xdr:rowOff>
    </xdr:to>
    <xdr:sp macro="" textlink="">
      <xdr:nvSpPr>
        <xdr:cNvPr id="3" name="TextBox 2">
          <a:extLst>
            <a:ext uri="{FF2B5EF4-FFF2-40B4-BE49-F238E27FC236}">
              <a16:creationId xmlns:a16="http://schemas.microsoft.com/office/drawing/2014/main" id="{337E71A1-1765-A74D-B531-839CE09FC4CD}"/>
            </a:ext>
          </a:extLst>
        </xdr:cNvPr>
        <xdr:cNvSpPr txBox="1"/>
      </xdr:nvSpPr>
      <xdr:spPr>
        <a:xfrm>
          <a:off x="8318500" y="3771900"/>
          <a:ext cx="4178300" cy="111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Times New Roman" panose="02020603050405020304" pitchFamily="18" charset="0"/>
              <a:cs typeface="Times New Roman" panose="02020603050405020304" pitchFamily="18" charset="0"/>
            </a:rPr>
            <a:t>Tennessee</a:t>
          </a:r>
          <a:r>
            <a:rPr lang="en-US" sz="1600" baseline="0">
              <a:latin typeface="Times New Roman" panose="02020603050405020304" pitchFamily="18" charset="0"/>
              <a:cs typeface="Times New Roman" panose="02020603050405020304" pitchFamily="18" charset="0"/>
            </a:rPr>
            <a:t> Capacity Increased by another 50 units. New York Availability Increased by another 50 units. Total cost reduced from $10,579,500 to $10,566,250.</a:t>
          </a:r>
        </a:p>
        <a:p>
          <a:endParaRPr lang="en-US" sz="1600" baseline="0">
            <a:latin typeface="Times New Roman" panose="02020603050405020304" pitchFamily="18" charset="0"/>
            <a:cs typeface="Times New Roman" panose="02020603050405020304" pitchFamily="18" charset="0"/>
          </a:endParaRPr>
        </a:p>
        <a:p>
          <a:endParaRPr lang="en-US" sz="1600">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279400</xdr:colOff>
      <xdr:row>16</xdr:row>
      <xdr:rowOff>152400</xdr:rowOff>
    </xdr:from>
    <xdr:to>
      <xdr:col>13</xdr:col>
      <xdr:colOff>508000</xdr:colOff>
      <xdr:row>22</xdr:row>
      <xdr:rowOff>165100</xdr:rowOff>
    </xdr:to>
    <xdr:sp macro="" textlink="">
      <xdr:nvSpPr>
        <xdr:cNvPr id="2" name="TextBox 1">
          <a:extLst>
            <a:ext uri="{FF2B5EF4-FFF2-40B4-BE49-F238E27FC236}">
              <a16:creationId xmlns:a16="http://schemas.microsoft.com/office/drawing/2014/main" id="{5A64E493-63F7-0D4C-858B-F05DC2BAEE6A}"/>
            </a:ext>
          </a:extLst>
        </xdr:cNvPr>
        <xdr:cNvSpPr txBox="1"/>
      </xdr:nvSpPr>
      <xdr:spPr>
        <a:xfrm>
          <a:off x="7912100" y="3441700"/>
          <a:ext cx="4356100" cy="1257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Times New Roman" panose="02020603050405020304" pitchFamily="18" charset="0"/>
              <a:cs typeface="Times New Roman" panose="02020603050405020304" pitchFamily="18" charset="0"/>
            </a:rPr>
            <a:t>Tennessee</a:t>
          </a:r>
          <a:r>
            <a:rPr lang="en-US" sz="1600" baseline="0">
              <a:latin typeface="Times New Roman" panose="02020603050405020304" pitchFamily="18" charset="0"/>
              <a:cs typeface="Times New Roman" panose="02020603050405020304" pitchFamily="18" charset="0"/>
            </a:rPr>
            <a:t> Capacity not increased since it reached the maximum allowable increase of 150. New York Availability Increased by another 150 units. Total cost reduced from $10,566,250 to $10,555,750.</a:t>
          </a:r>
        </a:p>
        <a:p>
          <a:endParaRPr lang="en-US" sz="1600" baseline="0">
            <a:latin typeface="Times New Roman" panose="02020603050405020304" pitchFamily="18" charset="0"/>
            <a:cs typeface="Times New Roman" panose="02020603050405020304" pitchFamily="18" charset="0"/>
          </a:endParaRPr>
        </a:p>
        <a:p>
          <a:endParaRPr lang="en-US" sz="1600">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101600</xdr:colOff>
      <xdr:row>15</xdr:row>
      <xdr:rowOff>63500</xdr:rowOff>
    </xdr:from>
    <xdr:to>
      <xdr:col>14</xdr:col>
      <xdr:colOff>330200</xdr:colOff>
      <xdr:row>21</xdr:row>
      <xdr:rowOff>63500</xdr:rowOff>
    </xdr:to>
    <xdr:sp macro="" textlink="">
      <xdr:nvSpPr>
        <xdr:cNvPr id="2" name="TextBox 1">
          <a:extLst>
            <a:ext uri="{FF2B5EF4-FFF2-40B4-BE49-F238E27FC236}">
              <a16:creationId xmlns:a16="http://schemas.microsoft.com/office/drawing/2014/main" id="{DC00B2B7-78D5-494C-B453-91569A14E9E0}"/>
            </a:ext>
          </a:extLst>
        </xdr:cNvPr>
        <xdr:cNvSpPr txBox="1"/>
      </xdr:nvSpPr>
      <xdr:spPr>
        <a:xfrm>
          <a:off x="8559800" y="3136900"/>
          <a:ext cx="4356100" cy="1257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Times New Roman" panose="02020603050405020304" pitchFamily="18" charset="0"/>
              <a:cs typeface="Times New Roman" panose="02020603050405020304" pitchFamily="18" charset="0"/>
            </a:rPr>
            <a:t>Tennessee</a:t>
          </a:r>
          <a:r>
            <a:rPr lang="en-US" sz="1600" baseline="0">
              <a:latin typeface="Times New Roman" panose="02020603050405020304" pitchFamily="18" charset="0"/>
              <a:cs typeface="Times New Roman" panose="02020603050405020304" pitchFamily="18" charset="0"/>
            </a:rPr>
            <a:t> Capacity not increased since it reached the maximum allowable increase of 150. New York Availability Increased by another 300 units. Total cost reduced from $10,555,750 to $10,534,750.</a:t>
          </a:r>
        </a:p>
        <a:p>
          <a:endParaRPr lang="en-US" sz="1600" baseline="0">
            <a:latin typeface="Times New Roman" panose="02020603050405020304" pitchFamily="18" charset="0"/>
            <a:cs typeface="Times New Roman" panose="02020603050405020304" pitchFamily="18" charset="0"/>
          </a:endParaRPr>
        </a:p>
        <a:p>
          <a:endParaRPr lang="en-US" sz="1600">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571500</xdr:colOff>
      <xdr:row>16</xdr:row>
      <xdr:rowOff>50800</xdr:rowOff>
    </xdr:from>
    <xdr:to>
      <xdr:col>14</xdr:col>
      <xdr:colOff>127000</xdr:colOff>
      <xdr:row>26</xdr:row>
      <xdr:rowOff>152400</xdr:rowOff>
    </xdr:to>
    <xdr:sp macro="" textlink="">
      <xdr:nvSpPr>
        <xdr:cNvPr id="2" name="TextBox 1">
          <a:extLst>
            <a:ext uri="{FF2B5EF4-FFF2-40B4-BE49-F238E27FC236}">
              <a16:creationId xmlns:a16="http://schemas.microsoft.com/office/drawing/2014/main" id="{F2442D0A-5B28-8A41-9D94-CF716B382197}"/>
            </a:ext>
          </a:extLst>
        </xdr:cNvPr>
        <xdr:cNvSpPr txBox="1"/>
      </xdr:nvSpPr>
      <xdr:spPr>
        <a:xfrm>
          <a:off x="8204200" y="3340100"/>
          <a:ext cx="4508500" cy="215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Times New Roman" panose="02020603050405020304" pitchFamily="18" charset="0"/>
              <a:cs typeface="Times New Roman" panose="02020603050405020304" pitchFamily="18" charset="0"/>
            </a:rPr>
            <a:t>Tennessee</a:t>
          </a:r>
          <a:r>
            <a:rPr lang="en-US" sz="1600" baseline="0">
              <a:latin typeface="Times New Roman" panose="02020603050405020304" pitchFamily="18" charset="0"/>
              <a:cs typeface="Times New Roman" panose="02020603050405020304" pitchFamily="18" charset="0"/>
            </a:rPr>
            <a:t> Capacity not increased since it reached the maximum allowable increase of 150. New York Availability Increased by another 100 units. Total cost stayed the same at $10,499,750. </a:t>
          </a:r>
        </a:p>
        <a:p>
          <a:endParaRPr lang="en-US" sz="1600" baseline="0">
            <a:latin typeface="Times New Roman" panose="02020603050405020304" pitchFamily="18" charset="0"/>
            <a:cs typeface="Times New Roman" panose="02020603050405020304" pitchFamily="18" charset="0"/>
          </a:endParaRPr>
        </a:p>
        <a:p>
          <a:r>
            <a:rPr lang="en-US" sz="1600" baseline="0">
              <a:latin typeface="Times New Roman" panose="02020603050405020304" pitchFamily="18" charset="0"/>
              <a:cs typeface="Times New Roman" panose="02020603050405020304" pitchFamily="18" charset="0"/>
            </a:rPr>
            <a:t>This confirms that based on the sensitivity report of our initial model, increasing Tennessee capacity up to 150 units and New York availability up to 1,100 units give us the optimal minimal total costs.</a:t>
          </a:r>
        </a:p>
        <a:p>
          <a:endParaRPr lang="en-US" sz="1600" baseline="0">
            <a:latin typeface="Times New Roman" panose="02020603050405020304" pitchFamily="18" charset="0"/>
            <a:cs typeface="Times New Roman" panose="02020603050405020304" pitchFamily="18" charset="0"/>
          </a:endParaRPr>
        </a:p>
        <a:p>
          <a:endParaRPr lang="en-US" sz="1600">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146050</xdr:colOff>
      <xdr:row>5</xdr:row>
      <xdr:rowOff>177800</xdr:rowOff>
    </xdr:from>
    <xdr:to>
      <xdr:col>12</xdr:col>
      <xdr:colOff>419100</xdr:colOff>
      <xdr:row>24</xdr:row>
      <xdr:rowOff>177800</xdr:rowOff>
    </xdr:to>
    <xdr:graphicFrame macro="">
      <xdr:nvGraphicFramePr>
        <xdr:cNvPr id="5" name="Chart 4">
          <a:extLst>
            <a:ext uri="{FF2B5EF4-FFF2-40B4-BE49-F238E27FC236}">
              <a16:creationId xmlns:a16="http://schemas.microsoft.com/office/drawing/2014/main" id="{FC36B3A8-E98C-97B0-DD0A-07773BB471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7AFA9-1865-4E49-A717-EC8B3C278AEF}">
  <sheetPr>
    <tabColor theme="5"/>
  </sheetPr>
  <dimension ref="A1"/>
  <sheetViews>
    <sheetView topLeftCell="D1" zoomScale="79" workbookViewId="0">
      <selection activeCell="B40" sqref="B40"/>
    </sheetView>
  </sheetViews>
  <sheetFormatPr baseColWidth="10" defaultColWidth="10.6640625" defaultRowHeight="16"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87C24-0B1F-E441-A542-51825DFE584D}">
  <sheetPr>
    <tabColor rgb="FFFF0000"/>
  </sheetPr>
  <dimension ref="A1:O24"/>
  <sheetViews>
    <sheetView zoomScale="47" zoomScaleNormal="80" workbookViewId="0">
      <selection activeCell="B22" sqref="B22"/>
    </sheetView>
  </sheetViews>
  <sheetFormatPr baseColWidth="10" defaultColWidth="10.83203125" defaultRowHeight="22" x14ac:dyDescent="0.3"/>
  <cols>
    <col min="1" max="2" width="21.1640625" style="8" bestFit="1" customWidth="1"/>
    <col min="3" max="3" width="13" style="8" customWidth="1"/>
    <col min="4" max="4" width="14.5" style="8" bestFit="1" customWidth="1"/>
    <col min="5" max="5" width="12.33203125" style="8" bestFit="1" customWidth="1"/>
    <col min="6" max="7" width="11" style="8" bestFit="1" customWidth="1"/>
    <col min="8" max="8" width="10.83203125" style="8"/>
    <col min="9" max="9" width="36.5" style="8" bestFit="1" customWidth="1"/>
    <col min="10" max="10" width="16.5" style="8" bestFit="1" customWidth="1"/>
    <col min="11" max="11" width="16.1640625" style="8" customWidth="1"/>
    <col min="12" max="12" width="17.83203125" style="8" bestFit="1" customWidth="1"/>
    <col min="13" max="13" width="14.5" style="8" bestFit="1" customWidth="1"/>
    <col min="14" max="14" width="25.5" style="8" bestFit="1" customWidth="1"/>
    <col min="15" max="15" width="15.83203125" style="8" bestFit="1" customWidth="1"/>
    <col min="16" max="16" width="13.33203125" style="8" bestFit="1" customWidth="1"/>
    <col min="17" max="16384" width="10.83203125" style="8"/>
  </cols>
  <sheetData>
    <row r="1" spans="1:14" x14ac:dyDescent="0.3">
      <c r="C1" s="9" t="s">
        <v>3</v>
      </c>
      <c r="D1" s="9"/>
    </row>
    <row r="2" spans="1:14" x14ac:dyDescent="0.3">
      <c r="A2" s="32" t="s">
        <v>0</v>
      </c>
      <c r="B2" s="22" t="s">
        <v>2</v>
      </c>
      <c r="C2" s="22" t="s">
        <v>2</v>
      </c>
      <c r="D2" s="23" t="s">
        <v>2</v>
      </c>
      <c r="E2" s="22" t="s">
        <v>2</v>
      </c>
      <c r="K2" s="9" t="s">
        <v>6</v>
      </c>
    </row>
    <row r="3" spans="1:14" x14ac:dyDescent="0.3">
      <c r="A3" s="21" t="s">
        <v>1</v>
      </c>
      <c r="B3" s="24" t="s">
        <v>10</v>
      </c>
      <c r="C3" s="24" t="s">
        <v>11</v>
      </c>
      <c r="D3" s="25" t="s">
        <v>12</v>
      </c>
      <c r="E3" s="24" t="s">
        <v>13</v>
      </c>
      <c r="I3" s="33" t="s">
        <v>4</v>
      </c>
      <c r="J3" s="22" t="s">
        <v>2</v>
      </c>
      <c r="K3" s="22" t="s">
        <v>2</v>
      </c>
      <c r="L3" s="22" t="s">
        <v>2</v>
      </c>
      <c r="M3" s="26" t="s">
        <v>2</v>
      </c>
    </row>
    <row r="4" spans="1:14" x14ac:dyDescent="0.3">
      <c r="A4" s="11" t="s">
        <v>7</v>
      </c>
      <c r="B4" s="12">
        <v>850</v>
      </c>
      <c r="C4" s="12">
        <v>720</v>
      </c>
      <c r="D4" s="12">
        <v>910</v>
      </c>
      <c r="E4" s="12">
        <v>750</v>
      </c>
      <c r="I4" s="27" t="s">
        <v>5</v>
      </c>
      <c r="J4" s="24" t="s">
        <v>10</v>
      </c>
      <c r="K4" s="24" t="s">
        <v>11</v>
      </c>
      <c r="L4" s="25" t="s">
        <v>12</v>
      </c>
      <c r="M4" s="24" t="s">
        <v>13</v>
      </c>
    </row>
    <row r="5" spans="1:14" x14ac:dyDescent="0.3">
      <c r="A5" s="11" t="s">
        <v>8</v>
      </c>
      <c r="B5" s="12">
        <v>970</v>
      </c>
      <c r="C5" s="12">
        <v>790</v>
      </c>
      <c r="D5" s="12">
        <v>1050</v>
      </c>
      <c r="E5" s="12">
        <v>880</v>
      </c>
      <c r="I5" s="11" t="s">
        <v>160</v>
      </c>
      <c r="J5" s="12">
        <v>2100</v>
      </c>
      <c r="K5" s="12">
        <v>2350</v>
      </c>
      <c r="L5" s="12">
        <v>2200</v>
      </c>
      <c r="M5" s="12">
        <v>1900</v>
      </c>
    </row>
    <row r="6" spans="1:14" x14ac:dyDescent="0.3">
      <c r="A6" s="11" t="s">
        <v>9</v>
      </c>
      <c r="B6" s="12">
        <v>900</v>
      </c>
      <c r="C6" s="12">
        <v>830</v>
      </c>
      <c r="D6" s="12">
        <v>780</v>
      </c>
      <c r="E6" s="12">
        <v>820</v>
      </c>
      <c r="I6" s="11" t="s">
        <v>161</v>
      </c>
      <c r="J6" s="12">
        <v>4100</v>
      </c>
      <c r="K6" s="12">
        <v>4300</v>
      </c>
      <c r="L6" s="12">
        <v>3950</v>
      </c>
      <c r="M6" s="12">
        <v>3900</v>
      </c>
    </row>
    <row r="7" spans="1:14" x14ac:dyDescent="0.3">
      <c r="I7" s="11" t="s">
        <v>162</v>
      </c>
      <c r="J7" s="12">
        <v>2600</v>
      </c>
      <c r="K7" s="12">
        <v>2300</v>
      </c>
      <c r="L7" s="12">
        <v>2500</v>
      </c>
      <c r="M7" s="12">
        <v>2800</v>
      </c>
    </row>
    <row r="9" spans="1:14" x14ac:dyDescent="0.3">
      <c r="C9" s="9"/>
    </row>
    <row r="10" spans="1:14" x14ac:dyDescent="0.3">
      <c r="A10" s="32" t="s">
        <v>14</v>
      </c>
      <c r="B10" s="22" t="s">
        <v>2</v>
      </c>
      <c r="C10" s="22" t="s">
        <v>2</v>
      </c>
      <c r="D10" s="22" t="s">
        <v>2</v>
      </c>
      <c r="E10" s="26" t="s">
        <v>2</v>
      </c>
      <c r="I10" s="10" t="s">
        <v>23</v>
      </c>
      <c r="L10" s="13"/>
      <c r="M10" s="14"/>
    </row>
    <row r="11" spans="1:14" x14ac:dyDescent="0.3">
      <c r="A11" s="21" t="s">
        <v>1</v>
      </c>
      <c r="B11" s="24" t="s">
        <v>10</v>
      </c>
      <c r="C11" s="24" t="s">
        <v>11</v>
      </c>
      <c r="D11" s="24" t="s">
        <v>12</v>
      </c>
      <c r="E11" s="37" t="s">
        <v>13</v>
      </c>
      <c r="F11" s="10" t="s">
        <v>17</v>
      </c>
      <c r="G11" s="10" t="s">
        <v>18</v>
      </c>
      <c r="I11" s="11" t="s">
        <v>160</v>
      </c>
      <c r="J11" s="15">
        <v>1</v>
      </c>
      <c r="L11" s="13"/>
      <c r="M11" s="14"/>
    </row>
    <row r="12" spans="1:14" x14ac:dyDescent="0.3">
      <c r="A12" s="11" t="s">
        <v>7</v>
      </c>
      <c r="B12" s="28">
        <v>0</v>
      </c>
      <c r="C12" s="28">
        <v>0</v>
      </c>
      <c r="D12" s="28">
        <v>0</v>
      </c>
      <c r="E12" s="28">
        <v>1400</v>
      </c>
      <c r="F12" s="15">
        <v>1400</v>
      </c>
      <c r="G12" s="11">
        <f>SUM(B12:E12)</f>
        <v>1400</v>
      </c>
      <c r="I12" s="11" t="s">
        <v>161</v>
      </c>
      <c r="J12" s="15">
        <v>2</v>
      </c>
      <c r="L12" s="16"/>
      <c r="M12" s="16"/>
    </row>
    <row r="13" spans="1:14" x14ac:dyDescent="0.3">
      <c r="A13" s="11" t="s">
        <v>8</v>
      </c>
      <c r="B13" s="28">
        <v>0</v>
      </c>
      <c r="C13" s="28">
        <v>1100</v>
      </c>
      <c r="D13" s="28">
        <v>0</v>
      </c>
      <c r="E13" s="28">
        <v>0</v>
      </c>
      <c r="F13" s="15">
        <v>1100</v>
      </c>
      <c r="G13" s="11">
        <f>SUM(B13:E13)</f>
        <v>1100</v>
      </c>
      <c r="I13" s="11" t="s">
        <v>162</v>
      </c>
      <c r="J13" s="17">
        <v>1.5</v>
      </c>
      <c r="L13" s="16"/>
      <c r="M13" s="16"/>
    </row>
    <row r="14" spans="1:14" x14ac:dyDescent="0.3">
      <c r="A14" s="11" t="s">
        <v>9</v>
      </c>
      <c r="B14" s="28">
        <v>150.00000000000006</v>
      </c>
      <c r="C14" s="28">
        <v>0</v>
      </c>
      <c r="D14" s="28">
        <v>1400</v>
      </c>
      <c r="E14" s="28">
        <v>0</v>
      </c>
      <c r="F14" s="15">
        <v>1700</v>
      </c>
      <c r="G14" s="11">
        <f>SUM(B14:E14)</f>
        <v>1550</v>
      </c>
      <c r="H14" s="36"/>
      <c r="I14" s="35"/>
      <c r="J14" s="34"/>
      <c r="L14" s="16"/>
      <c r="N14" s="19"/>
    </row>
    <row r="15" spans="1:14" x14ac:dyDescent="0.3">
      <c r="A15" s="10" t="s">
        <v>15</v>
      </c>
      <c r="B15" s="18">
        <v>1200</v>
      </c>
      <c r="C15" s="18">
        <v>1100</v>
      </c>
      <c r="D15" s="18">
        <v>1400</v>
      </c>
      <c r="E15" s="18">
        <v>1400</v>
      </c>
    </row>
    <row r="16" spans="1:14" x14ac:dyDescent="0.3">
      <c r="A16" s="10" t="s">
        <v>16</v>
      </c>
      <c r="B16" s="20">
        <f>SUM(B12:B14)</f>
        <v>150.00000000000006</v>
      </c>
      <c r="C16" s="20">
        <f t="shared" ref="C16:E16" si="0">SUM(C12:C14)</f>
        <v>1100</v>
      </c>
      <c r="D16" s="20">
        <f t="shared" si="0"/>
        <v>1400</v>
      </c>
      <c r="E16" s="20">
        <f t="shared" si="0"/>
        <v>1400</v>
      </c>
      <c r="I16" s="33" t="s">
        <v>21</v>
      </c>
      <c r="J16" s="22" t="s">
        <v>2</v>
      </c>
      <c r="K16" s="22" t="s">
        <v>2</v>
      </c>
      <c r="L16" s="22" t="s">
        <v>2</v>
      </c>
      <c r="M16" s="26" t="s">
        <v>2</v>
      </c>
    </row>
    <row r="17" spans="1:15" x14ac:dyDescent="0.3">
      <c r="I17" s="27" t="s">
        <v>5</v>
      </c>
      <c r="J17" s="24" t="s">
        <v>10</v>
      </c>
      <c r="K17" s="24" t="s">
        <v>11</v>
      </c>
      <c r="L17" s="25" t="s">
        <v>12</v>
      </c>
      <c r="M17" s="24" t="s">
        <v>13</v>
      </c>
      <c r="N17" s="10" t="s">
        <v>20</v>
      </c>
      <c r="O17" s="10" t="s">
        <v>159</v>
      </c>
    </row>
    <row r="18" spans="1:15" x14ac:dyDescent="0.3">
      <c r="I18" s="11" t="s">
        <v>160</v>
      </c>
      <c r="J18" s="29">
        <v>0</v>
      </c>
      <c r="K18" s="29">
        <v>0</v>
      </c>
      <c r="L18" s="29">
        <v>0</v>
      </c>
      <c r="M18" s="29">
        <v>1200</v>
      </c>
      <c r="N18" s="15">
        <v>1200</v>
      </c>
      <c r="O18" s="20">
        <f>SUM(J18:M18)</f>
        <v>1200</v>
      </c>
    </row>
    <row r="19" spans="1:15" x14ac:dyDescent="0.3">
      <c r="A19" s="10" t="s">
        <v>97</v>
      </c>
      <c r="B19" s="30">
        <f>SUMPRODUCT(B4:E6,B12:E14)</f>
        <v>3146000</v>
      </c>
      <c r="E19" s="19"/>
      <c r="I19" s="11" t="s">
        <v>161</v>
      </c>
      <c r="J19" s="29">
        <v>75.000000000000028</v>
      </c>
      <c r="K19" s="29">
        <v>24.999999999999972</v>
      </c>
      <c r="L19" s="29">
        <v>700</v>
      </c>
      <c r="M19" s="29">
        <v>100</v>
      </c>
      <c r="N19" s="11">
        <v>900</v>
      </c>
      <c r="O19" s="20">
        <f>SUM(J19:M19)</f>
        <v>900</v>
      </c>
    </row>
    <row r="20" spans="1:15" x14ac:dyDescent="0.3">
      <c r="A20" s="10" t="s">
        <v>98</v>
      </c>
      <c r="B20" s="30">
        <f>SUMPRODUCT(J5:M7,J18:M20)</f>
        <v>7460000</v>
      </c>
      <c r="I20" s="11" t="s">
        <v>162</v>
      </c>
      <c r="J20" s="29">
        <v>0</v>
      </c>
      <c r="K20" s="29">
        <v>700</v>
      </c>
      <c r="L20" s="29">
        <v>0</v>
      </c>
      <c r="M20" s="29">
        <v>0</v>
      </c>
      <c r="N20" s="11">
        <v>700</v>
      </c>
      <c r="O20" s="20">
        <f t="shared" ref="O20" si="1">SUM(J20:M20)</f>
        <v>700</v>
      </c>
    </row>
    <row r="21" spans="1:15" x14ac:dyDescent="0.3">
      <c r="I21" s="10" t="s">
        <v>71</v>
      </c>
      <c r="J21" s="20">
        <f>B16</f>
        <v>150.00000000000006</v>
      </c>
      <c r="K21" s="20">
        <f>C16</f>
        <v>1100</v>
      </c>
      <c r="L21" s="20">
        <f t="shared" ref="L21:M21" si="2">D16</f>
        <v>1400</v>
      </c>
      <c r="M21" s="20">
        <f t="shared" si="2"/>
        <v>1400</v>
      </c>
    </row>
    <row r="22" spans="1:15" x14ac:dyDescent="0.3">
      <c r="A22" s="10" t="s">
        <v>19</v>
      </c>
      <c r="B22" s="31">
        <f>SUMPRODUCT(B4:E6,B12:E14) + SUMPRODUCT(J5:M7,J18:M20)</f>
        <v>10606000</v>
      </c>
      <c r="I22" s="10" t="s">
        <v>146</v>
      </c>
      <c r="J22" s="11">
        <f>J18*$J$11+J19*$J$12+J20*$J$13</f>
        <v>150.00000000000006</v>
      </c>
      <c r="K22" s="11">
        <f>K18*$J$11+K19*$J$12+K20*$J$13</f>
        <v>1100</v>
      </c>
      <c r="L22" s="11">
        <f>L18*$J$11+L19*$J$12+L20*$J$13</f>
        <v>1400</v>
      </c>
      <c r="M22" s="11">
        <f>M18*$J$11+M19*$J$12+M20*$J$13</f>
        <v>1400</v>
      </c>
    </row>
    <row r="24" spans="1:15" x14ac:dyDescent="0.3">
      <c r="L24" s="8" t="s">
        <v>22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01974-1C18-492E-A24C-8759034B8DC9}">
  <sheetPr>
    <tabColor theme="9" tint="0.39997558519241921"/>
  </sheetPr>
  <dimension ref="A1:H50"/>
  <sheetViews>
    <sheetView showGridLines="0" topLeftCell="A18" workbookViewId="0">
      <selection activeCell="J50" sqref="J50"/>
    </sheetView>
  </sheetViews>
  <sheetFormatPr baseColWidth="10" defaultColWidth="8.83203125" defaultRowHeight="16" x14ac:dyDescent="0.2"/>
  <cols>
    <col min="1" max="1" width="2" customWidth="1"/>
    <col min="2" max="2" width="6.1640625" bestFit="1" customWidth="1"/>
    <col min="3" max="3" width="35" bestFit="1" customWidth="1"/>
    <col min="4" max="4" width="5.5" bestFit="1" customWidth="1"/>
    <col min="5" max="5" width="8.1640625" bestFit="1" customWidth="1"/>
    <col min="6" max="6" width="9.83203125" bestFit="1" customWidth="1"/>
    <col min="7" max="8" width="11.6640625" bestFit="1" customWidth="1"/>
  </cols>
  <sheetData>
    <row r="1" spans="1:8" x14ac:dyDescent="0.2">
      <c r="A1" s="1" t="s">
        <v>195</v>
      </c>
    </row>
    <row r="2" spans="1:8" x14ac:dyDescent="0.2">
      <c r="A2" s="1" t="s">
        <v>196</v>
      </c>
    </row>
    <row r="3" spans="1:8" x14ac:dyDescent="0.2">
      <c r="A3" s="1" t="s">
        <v>205</v>
      </c>
    </row>
    <row r="6" spans="1:8" ht="17" thickBot="1" x14ac:dyDescent="0.25">
      <c r="A6" t="s">
        <v>35</v>
      </c>
    </row>
    <row r="7" spans="1:8" x14ac:dyDescent="0.2">
      <c r="B7" s="6"/>
      <c r="C7" s="6"/>
      <c r="D7" s="6" t="s">
        <v>84</v>
      </c>
      <c r="E7" s="6" t="s">
        <v>86</v>
      </c>
      <c r="F7" s="6" t="s">
        <v>88</v>
      </c>
      <c r="G7" s="6" t="s">
        <v>90</v>
      </c>
      <c r="H7" s="6" t="s">
        <v>90</v>
      </c>
    </row>
    <row r="8" spans="1:8" ht="17" thickBot="1" x14ac:dyDescent="0.25">
      <c r="B8" s="7" t="s">
        <v>31</v>
      </c>
      <c r="C8" s="7" t="s">
        <v>32</v>
      </c>
      <c r="D8" s="7" t="s">
        <v>85</v>
      </c>
      <c r="E8" s="7" t="s">
        <v>87</v>
      </c>
      <c r="F8" s="7" t="s">
        <v>89</v>
      </c>
      <c r="G8" s="7" t="s">
        <v>91</v>
      </c>
      <c r="H8" s="7" t="s">
        <v>92</v>
      </c>
    </row>
    <row r="9" spans="1:8" x14ac:dyDescent="0.2">
      <c r="B9" s="4" t="s">
        <v>103</v>
      </c>
      <c r="C9" s="4" t="s">
        <v>44</v>
      </c>
      <c r="D9" s="4">
        <v>0</v>
      </c>
      <c r="E9" s="4">
        <v>20</v>
      </c>
      <c r="F9" s="4">
        <v>850</v>
      </c>
      <c r="G9" s="4">
        <v>1E+30</v>
      </c>
      <c r="H9" s="4">
        <v>20</v>
      </c>
    </row>
    <row r="10" spans="1:8" x14ac:dyDescent="0.2">
      <c r="B10" s="4" t="s">
        <v>104</v>
      </c>
      <c r="C10" s="4" t="s">
        <v>47</v>
      </c>
      <c r="D10" s="4">
        <v>0</v>
      </c>
      <c r="E10" s="4">
        <v>0</v>
      </c>
      <c r="F10" s="4">
        <v>720</v>
      </c>
      <c r="G10" s="4">
        <v>20</v>
      </c>
      <c r="H10" s="4">
        <v>0</v>
      </c>
    </row>
    <row r="11" spans="1:8" x14ac:dyDescent="0.2">
      <c r="B11" s="4" t="s">
        <v>105</v>
      </c>
      <c r="C11" s="4" t="s">
        <v>49</v>
      </c>
      <c r="D11" s="4">
        <v>0</v>
      </c>
      <c r="E11" s="4">
        <v>200</v>
      </c>
      <c r="F11" s="4">
        <v>910</v>
      </c>
      <c r="G11" s="4">
        <v>1E+30</v>
      </c>
      <c r="H11" s="4">
        <v>200</v>
      </c>
    </row>
    <row r="12" spans="1:8" x14ac:dyDescent="0.2">
      <c r="B12" s="4" t="s">
        <v>106</v>
      </c>
      <c r="C12" s="4" t="s">
        <v>50</v>
      </c>
      <c r="D12" s="4">
        <v>1400</v>
      </c>
      <c r="E12" s="4">
        <v>0</v>
      </c>
      <c r="F12" s="4">
        <v>750</v>
      </c>
      <c r="G12" s="4">
        <v>0</v>
      </c>
      <c r="H12" s="4">
        <v>1E+30</v>
      </c>
    </row>
    <row r="13" spans="1:8" x14ac:dyDescent="0.2">
      <c r="B13" s="4" t="s">
        <v>107</v>
      </c>
      <c r="C13" s="4" t="s">
        <v>51</v>
      </c>
      <c r="D13" s="4">
        <v>0</v>
      </c>
      <c r="E13" s="4">
        <v>70</v>
      </c>
      <c r="F13" s="4">
        <v>970</v>
      </c>
      <c r="G13" s="4">
        <v>1E+30</v>
      </c>
      <c r="H13" s="4">
        <v>70</v>
      </c>
    </row>
    <row r="14" spans="1:8" x14ac:dyDescent="0.2">
      <c r="B14" s="4" t="s">
        <v>108</v>
      </c>
      <c r="C14" s="4" t="s">
        <v>52</v>
      </c>
      <c r="D14" s="4">
        <v>1100</v>
      </c>
      <c r="E14" s="4">
        <v>0</v>
      </c>
      <c r="F14" s="4">
        <v>790</v>
      </c>
      <c r="G14" s="4">
        <v>0</v>
      </c>
      <c r="H14" s="4">
        <v>20</v>
      </c>
    </row>
    <row r="15" spans="1:8" x14ac:dyDescent="0.2">
      <c r="B15" s="4" t="s">
        <v>109</v>
      </c>
      <c r="C15" s="4" t="s">
        <v>53</v>
      </c>
      <c r="D15" s="4">
        <v>0</v>
      </c>
      <c r="E15" s="4">
        <v>270</v>
      </c>
      <c r="F15" s="4">
        <v>1050</v>
      </c>
      <c r="G15" s="4">
        <v>1E+30</v>
      </c>
      <c r="H15" s="4">
        <v>270</v>
      </c>
    </row>
    <row r="16" spans="1:8" x14ac:dyDescent="0.2">
      <c r="B16" s="4" t="s">
        <v>110</v>
      </c>
      <c r="C16" s="4" t="s">
        <v>54</v>
      </c>
      <c r="D16" s="4">
        <v>0</v>
      </c>
      <c r="E16" s="4">
        <v>60</v>
      </c>
      <c r="F16" s="4">
        <v>880</v>
      </c>
      <c r="G16" s="4">
        <v>1E+30</v>
      </c>
      <c r="H16" s="4">
        <v>60</v>
      </c>
    </row>
    <row r="17" spans="2:8" x14ac:dyDescent="0.2">
      <c r="B17" s="4" t="s">
        <v>111</v>
      </c>
      <c r="C17" s="4" t="s">
        <v>56</v>
      </c>
      <c r="D17" s="4">
        <v>150.00000000000006</v>
      </c>
      <c r="E17" s="4">
        <v>0</v>
      </c>
      <c r="F17" s="4">
        <v>900</v>
      </c>
      <c r="G17" s="4">
        <v>20</v>
      </c>
      <c r="H17" s="4">
        <v>10</v>
      </c>
    </row>
    <row r="18" spans="2:8" x14ac:dyDescent="0.2">
      <c r="B18" s="4" t="s">
        <v>43</v>
      </c>
      <c r="C18" s="4" t="s">
        <v>58</v>
      </c>
      <c r="D18" s="4">
        <v>0</v>
      </c>
      <c r="E18" s="4">
        <v>40</v>
      </c>
      <c r="F18" s="4">
        <v>830</v>
      </c>
      <c r="G18" s="4">
        <v>1E+30</v>
      </c>
      <c r="H18" s="4">
        <v>40</v>
      </c>
    </row>
    <row r="19" spans="2:8" x14ac:dyDescent="0.2">
      <c r="B19" s="4" t="s">
        <v>46</v>
      </c>
      <c r="C19" s="4" t="s">
        <v>60</v>
      </c>
      <c r="D19" s="4">
        <v>1400</v>
      </c>
      <c r="E19" s="4">
        <v>0</v>
      </c>
      <c r="F19" s="4">
        <v>780</v>
      </c>
      <c r="G19" s="4">
        <v>195</v>
      </c>
      <c r="H19" s="4">
        <v>1E+30</v>
      </c>
    </row>
    <row r="20" spans="2:8" x14ac:dyDescent="0.2">
      <c r="B20" s="4" t="s">
        <v>48</v>
      </c>
      <c r="C20" s="4" t="s">
        <v>61</v>
      </c>
      <c r="D20" s="4">
        <v>0</v>
      </c>
      <c r="E20" s="4">
        <v>0</v>
      </c>
      <c r="F20" s="4">
        <v>820</v>
      </c>
      <c r="G20" s="4">
        <v>1E+30</v>
      </c>
      <c r="H20" s="4">
        <v>0</v>
      </c>
    </row>
    <row r="21" spans="2:8" x14ac:dyDescent="0.2">
      <c r="B21" s="4" t="s">
        <v>112</v>
      </c>
      <c r="C21" s="4" t="s">
        <v>167</v>
      </c>
      <c r="D21" s="4">
        <v>0</v>
      </c>
      <c r="E21" s="4">
        <v>100</v>
      </c>
      <c r="F21" s="4">
        <v>2100</v>
      </c>
      <c r="G21" s="4">
        <v>1E+30</v>
      </c>
      <c r="H21" s="4">
        <v>100</v>
      </c>
    </row>
    <row r="22" spans="2:8" x14ac:dyDescent="0.2">
      <c r="B22" s="4" t="s">
        <v>113</v>
      </c>
      <c r="C22" s="4" t="s">
        <v>168</v>
      </c>
      <c r="D22" s="4">
        <v>0</v>
      </c>
      <c r="E22" s="4">
        <v>250</v>
      </c>
      <c r="F22" s="4">
        <v>2350</v>
      </c>
      <c r="G22" s="4">
        <v>1E+30</v>
      </c>
      <c r="H22" s="4">
        <v>250</v>
      </c>
    </row>
    <row r="23" spans="2:8" x14ac:dyDescent="0.2">
      <c r="B23" s="4" t="s">
        <v>114</v>
      </c>
      <c r="C23" s="4" t="s">
        <v>169</v>
      </c>
      <c r="D23" s="4">
        <v>0</v>
      </c>
      <c r="E23" s="4">
        <v>275</v>
      </c>
      <c r="F23" s="4">
        <v>2200</v>
      </c>
      <c r="G23" s="4">
        <v>1E+30</v>
      </c>
      <c r="H23" s="4">
        <v>275</v>
      </c>
    </row>
    <row r="24" spans="2:8" x14ac:dyDescent="0.2">
      <c r="B24" s="4" t="s">
        <v>115</v>
      </c>
      <c r="C24" s="4" t="s">
        <v>170</v>
      </c>
      <c r="D24" s="4">
        <v>1200</v>
      </c>
      <c r="E24" s="4">
        <v>0</v>
      </c>
      <c r="F24" s="4">
        <v>1900</v>
      </c>
      <c r="G24" s="4">
        <v>100</v>
      </c>
      <c r="H24" s="4">
        <v>1E+30</v>
      </c>
    </row>
    <row r="25" spans="2:8" x14ac:dyDescent="0.2">
      <c r="B25" s="4" t="s">
        <v>116</v>
      </c>
      <c r="C25" s="4" t="s">
        <v>171</v>
      </c>
      <c r="D25" s="4">
        <v>75.000000000000028</v>
      </c>
      <c r="E25" s="4">
        <v>0</v>
      </c>
      <c r="F25" s="4">
        <v>4100</v>
      </c>
      <c r="G25" s="4">
        <v>200</v>
      </c>
      <c r="H25" s="4">
        <v>20</v>
      </c>
    </row>
    <row r="26" spans="2:8" x14ac:dyDescent="0.2">
      <c r="B26" s="4" t="s">
        <v>117</v>
      </c>
      <c r="C26" s="4" t="s">
        <v>172</v>
      </c>
      <c r="D26" s="4">
        <v>24.999999999999972</v>
      </c>
      <c r="E26" s="4">
        <v>0</v>
      </c>
      <c r="F26" s="4">
        <v>4300</v>
      </c>
      <c r="G26" s="4">
        <v>20</v>
      </c>
      <c r="H26" s="4">
        <v>600</v>
      </c>
    </row>
    <row r="27" spans="2:8" x14ac:dyDescent="0.2">
      <c r="B27" s="4" t="s">
        <v>118</v>
      </c>
      <c r="C27" s="4" t="s">
        <v>173</v>
      </c>
      <c r="D27" s="4">
        <v>700</v>
      </c>
      <c r="E27" s="4">
        <v>0</v>
      </c>
      <c r="F27" s="4">
        <v>3950</v>
      </c>
      <c r="G27" s="4">
        <v>390</v>
      </c>
      <c r="H27" s="4">
        <v>1E+30</v>
      </c>
    </row>
    <row r="28" spans="2:8" x14ac:dyDescent="0.2">
      <c r="B28" s="4" t="s">
        <v>119</v>
      </c>
      <c r="C28" s="4" t="s">
        <v>174</v>
      </c>
      <c r="D28" s="4">
        <v>100</v>
      </c>
      <c r="E28" s="4">
        <v>0</v>
      </c>
      <c r="F28" s="4">
        <v>3900</v>
      </c>
      <c r="G28" s="4">
        <v>360</v>
      </c>
      <c r="H28" s="4">
        <v>200</v>
      </c>
    </row>
    <row r="29" spans="2:8" x14ac:dyDescent="0.2">
      <c r="B29" s="4" t="s">
        <v>120</v>
      </c>
      <c r="C29" s="4" t="s">
        <v>175</v>
      </c>
      <c r="D29" s="4">
        <v>0</v>
      </c>
      <c r="E29" s="4">
        <v>450</v>
      </c>
      <c r="F29" s="4">
        <v>2600</v>
      </c>
      <c r="G29" s="4">
        <v>1E+30</v>
      </c>
      <c r="H29" s="4">
        <v>450</v>
      </c>
    </row>
    <row r="30" spans="2:8" x14ac:dyDescent="0.2">
      <c r="B30" s="4" t="s">
        <v>121</v>
      </c>
      <c r="C30" s="4" t="s">
        <v>176</v>
      </c>
      <c r="D30" s="4">
        <v>700</v>
      </c>
      <c r="E30" s="4">
        <v>0</v>
      </c>
      <c r="F30" s="4">
        <v>2300</v>
      </c>
      <c r="G30" s="4">
        <v>450</v>
      </c>
      <c r="H30" s="4">
        <v>1E+30</v>
      </c>
    </row>
    <row r="31" spans="2:8" x14ac:dyDescent="0.2">
      <c r="B31" s="4" t="s">
        <v>122</v>
      </c>
      <c r="C31" s="4" t="s">
        <v>177</v>
      </c>
      <c r="D31" s="4">
        <v>0</v>
      </c>
      <c r="E31" s="4">
        <v>462.5</v>
      </c>
      <c r="F31" s="4">
        <v>2500</v>
      </c>
      <c r="G31" s="4">
        <v>1E+30</v>
      </c>
      <c r="H31" s="4">
        <v>462.5</v>
      </c>
    </row>
    <row r="32" spans="2:8" ht="17" thickBot="1" x14ac:dyDescent="0.25">
      <c r="B32" s="2" t="s">
        <v>123</v>
      </c>
      <c r="C32" s="2" t="s">
        <v>178</v>
      </c>
      <c r="D32" s="2">
        <v>0</v>
      </c>
      <c r="E32" s="2">
        <v>800</v>
      </c>
      <c r="F32" s="2">
        <v>2800</v>
      </c>
      <c r="G32" s="2">
        <v>1E+30</v>
      </c>
      <c r="H32" s="2">
        <v>800</v>
      </c>
    </row>
    <row r="34" spans="1:8" ht="17" thickBot="1" x14ac:dyDescent="0.25">
      <c r="A34" t="s">
        <v>37</v>
      </c>
    </row>
    <row r="35" spans="1:8" x14ac:dyDescent="0.2">
      <c r="B35" s="6"/>
      <c r="C35" s="6"/>
      <c r="D35" s="6" t="s">
        <v>84</v>
      </c>
      <c r="E35" s="6" t="s">
        <v>93</v>
      </c>
      <c r="F35" s="6" t="s">
        <v>95</v>
      </c>
      <c r="G35" s="6" t="s">
        <v>90</v>
      </c>
      <c r="H35" s="6" t="s">
        <v>90</v>
      </c>
    </row>
    <row r="36" spans="1:8" ht="17" thickBot="1" x14ac:dyDescent="0.25">
      <c r="B36" s="7" t="s">
        <v>31</v>
      </c>
      <c r="C36" s="7" t="s">
        <v>32</v>
      </c>
      <c r="D36" s="7" t="s">
        <v>85</v>
      </c>
      <c r="E36" s="7" t="s">
        <v>94</v>
      </c>
      <c r="F36" s="7" t="s">
        <v>96</v>
      </c>
      <c r="G36" s="7" t="s">
        <v>91</v>
      </c>
      <c r="H36" s="7" t="s">
        <v>92</v>
      </c>
    </row>
    <row r="37" spans="1:8" x14ac:dyDescent="0.2">
      <c r="B37" s="4" t="s">
        <v>124</v>
      </c>
      <c r="C37" s="4" t="s">
        <v>62</v>
      </c>
      <c r="D37" s="4">
        <v>150.00000000000006</v>
      </c>
      <c r="E37" s="4">
        <v>0</v>
      </c>
      <c r="F37" s="4">
        <v>1200</v>
      </c>
      <c r="G37" s="4">
        <v>1E+30</v>
      </c>
      <c r="H37" s="4">
        <v>1050</v>
      </c>
    </row>
    <row r="38" spans="1:8" x14ac:dyDescent="0.2">
      <c r="B38" s="4" t="s">
        <v>55</v>
      </c>
      <c r="C38" s="4" t="s">
        <v>64</v>
      </c>
      <c r="D38" s="4">
        <v>1100</v>
      </c>
      <c r="E38" s="4">
        <v>-10</v>
      </c>
      <c r="F38" s="4">
        <v>1100</v>
      </c>
      <c r="G38" s="4">
        <v>5.6843418860808015E-14</v>
      </c>
      <c r="H38" s="4">
        <v>49.999999999999943</v>
      </c>
    </row>
    <row r="39" spans="1:8" x14ac:dyDescent="0.2">
      <c r="B39" s="38" t="s">
        <v>57</v>
      </c>
      <c r="C39" s="38" t="s">
        <v>66</v>
      </c>
      <c r="D39" s="38">
        <v>1400</v>
      </c>
      <c r="E39" s="38">
        <v>-195</v>
      </c>
      <c r="F39" s="38">
        <v>1400</v>
      </c>
      <c r="G39" s="38">
        <v>150.00000000000006</v>
      </c>
      <c r="H39" s="38">
        <v>1050</v>
      </c>
    </row>
    <row r="40" spans="1:8" x14ac:dyDescent="0.2">
      <c r="B40" s="4" t="s">
        <v>59</v>
      </c>
      <c r="C40" s="4" t="s">
        <v>67</v>
      </c>
      <c r="D40" s="4">
        <v>1400</v>
      </c>
      <c r="E40" s="4">
        <v>-180</v>
      </c>
      <c r="F40" s="4">
        <v>1400</v>
      </c>
      <c r="G40" s="4">
        <v>0</v>
      </c>
      <c r="H40" s="4">
        <v>149.99999999999994</v>
      </c>
    </row>
    <row r="41" spans="1:8" x14ac:dyDescent="0.2">
      <c r="B41" s="38" t="s">
        <v>129</v>
      </c>
      <c r="C41" s="38" t="s">
        <v>68</v>
      </c>
      <c r="D41" s="38">
        <v>1400</v>
      </c>
      <c r="E41" s="38">
        <v>-70</v>
      </c>
      <c r="F41" s="38">
        <v>1400</v>
      </c>
      <c r="G41" s="38">
        <v>1100</v>
      </c>
      <c r="H41" s="38">
        <v>0</v>
      </c>
    </row>
    <row r="42" spans="1:8" x14ac:dyDescent="0.2">
      <c r="B42" s="4" t="s">
        <v>131</v>
      </c>
      <c r="C42" s="4" t="s">
        <v>69</v>
      </c>
      <c r="D42" s="4">
        <v>1100</v>
      </c>
      <c r="E42" s="4">
        <v>0</v>
      </c>
      <c r="F42" s="4">
        <v>1100</v>
      </c>
      <c r="G42" s="4">
        <v>1E+30</v>
      </c>
      <c r="H42" s="4">
        <v>5.6843418860808015E-14</v>
      </c>
    </row>
    <row r="43" spans="1:8" x14ac:dyDescent="0.2">
      <c r="B43" s="4" t="s">
        <v>133</v>
      </c>
      <c r="C43" s="4" t="s">
        <v>70</v>
      </c>
      <c r="D43" s="4">
        <v>1550</v>
      </c>
      <c r="E43" s="4">
        <v>0</v>
      </c>
      <c r="F43" s="4">
        <v>1700</v>
      </c>
      <c r="G43" s="4">
        <v>1E+30</v>
      </c>
      <c r="H43" s="4">
        <v>149.99999999999994</v>
      </c>
    </row>
    <row r="44" spans="1:8" x14ac:dyDescent="0.2">
      <c r="B44" s="38" t="s">
        <v>197</v>
      </c>
      <c r="C44" s="38" t="s">
        <v>198</v>
      </c>
      <c r="D44" s="38">
        <v>150.00000000000006</v>
      </c>
      <c r="E44" s="38">
        <v>900</v>
      </c>
      <c r="F44" s="38">
        <v>0</v>
      </c>
      <c r="G44" s="38">
        <v>149.99999999999994</v>
      </c>
      <c r="H44" s="38">
        <v>150.00000000000006</v>
      </c>
    </row>
    <row r="45" spans="1:8" x14ac:dyDescent="0.2">
      <c r="B45" s="38" t="s">
        <v>199</v>
      </c>
      <c r="C45" s="38" t="s">
        <v>200</v>
      </c>
      <c r="D45" s="38">
        <v>1100</v>
      </c>
      <c r="E45" s="38">
        <v>800</v>
      </c>
      <c r="F45" s="38">
        <v>0</v>
      </c>
      <c r="G45" s="38">
        <v>49.999999999999943</v>
      </c>
      <c r="H45" s="38">
        <v>150.00000000000006</v>
      </c>
    </row>
    <row r="46" spans="1:8" x14ac:dyDescent="0.2">
      <c r="B46" s="38" t="s">
        <v>201</v>
      </c>
      <c r="C46" s="38" t="s">
        <v>202</v>
      </c>
      <c r="D46" s="38">
        <v>1400</v>
      </c>
      <c r="E46" s="38">
        <v>975</v>
      </c>
      <c r="F46" s="38">
        <v>0</v>
      </c>
      <c r="G46" s="38">
        <v>149.99999999999994</v>
      </c>
      <c r="H46" s="38">
        <v>150.00000000000006</v>
      </c>
    </row>
    <row r="47" spans="1:8" x14ac:dyDescent="0.2">
      <c r="B47" s="38" t="s">
        <v>203</v>
      </c>
      <c r="C47" s="38" t="s">
        <v>204</v>
      </c>
      <c r="D47" s="38">
        <v>1400</v>
      </c>
      <c r="E47" s="38">
        <v>1000</v>
      </c>
      <c r="F47" s="38">
        <v>0</v>
      </c>
      <c r="G47" s="38">
        <v>149.99999999999994</v>
      </c>
      <c r="H47" s="38">
        <v>150.00000000000006</v>
      </c>
    </row>
    <row r="48" spans="1:8" x14ac:dyDescent="0.2">
      <c r="B48" s="4" t="s">
        <v>143</v>
      </c>
      <c r="C48" s="4" t="s">
        <v>179</v>
      </c>
      <c r="D48" s="4">
        <v>1200</v>
      </c>
      <c r="E48" s="4">
        <v>2900</v>
      </c>
      <c r="F48" s="4">
        <v>1200</v>
      </c>
      <c r="G48" s="4">
        <v>149.99999999999994</v>
      </c>
      <c r="H48" s="4">
        <v>150.00000000000006</v>
      </c>
    </row>
    <row r="49" spans="2:8" x14ac:dyDescent="0.2">
      <c r="B49" s="4" t="s">
        <v>144</v>
      </c>
      <c r="C49" s="4" t="s">
        <v>180</v>
      </c>
      <c r="D49" s="4">
        <v>900</v>
      </c>
      <c r="E49" s="4">
        <v>5900</v>
      </c>
      <c r="F49" s="4">
        <v>900</v>
      </c>
      <c r="G49" s="4">
        <v>74.999999999999972</v>
      </c>
      <c r="H49" s="4">
        <v>75.000000000000028</v>
      </c>
    </row>
    <row r="50" spans="2:8" ht="17" thickBot="1" x14ac:dyDescent="0.25">
      <c r="B50" s="2" t="s">
        <v>145</v>
      </c>
      <c r="C50" s="2" t="s">
        <v>181</v>
      </c>
      <c r="D50" s="2">
        <v>700</v>
      </c>
      <c r="E50" s="2">
        <v>3500</v>
      </c>
      <c r="F50" s="2">
        <v>700</v>
      </c>
      <c r="G50" s="2">
        <v>33.333333333333293</v>
      </c>
      <c r="H50" s="2">
        <v>100.00000000000004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88E850-2183-314C-94A1-18B1CFB57484}">
  <sheetPr>
    <tabColor theme="9" tint="0.39997558519241921"/>
  </sheetPr>
  <dimension ref="A1:G62"/>
  <sheetViews>
    <sheetView showGridLines="0" workbookViewId="0">
      <selection activeCell="E16" sqref="E16"/>
    </sheetView>
  </sheetViews>
  <sheetFormatPr baseColWidth="10" defaultColWidth="10.6640625" defaultRowHeight="16" x14ac:dyDescent="0.2"/>
  <cols>
    <col min="1" max="1" width="2.33203125" customWidth="1"/>
    <col min="2" max="2" width="6.6640625" bestFit="1" customWidth="1"/>
    <col min="3" max="3" width="34.1640625" bestFit="1" customWidth="1"/>
    <col min="4" max="4" width="12.6640625" bestFit="1" customWidth="1"/>
    <col min="5" max="5" width="15" bestFit="1" customWidth="1"/>
    <col min="6" max="6" width="10.5" bestFit="1" customWidth="1"/>
    <col min="7" max="7" width="5.6640625" bestFit="1" customWidth="1"/>
  </cols>
  <sheetData>
    <row r="1" spans="1:5" x14ac:dyDescent="0.2">
      <c r="A1" s="1" t="s">
        <v>24</v>
      </c>
    </row>
    <row r="2" spans="1:5" x14ac:dyDescent="0.2">
      <c r="A2" s="1" t="s">
        <v>99</v>
      </c>
    </row>
    <row r="3" spans="1:5" x14ac:dyDescent="0.2">
      <c r="A3" s="1" t="s">
        <v>147</v>
      </c>
    </row>
    <row r="4" spans="1:5" x14ac:dyDescent="0.2">
      <c r="A4" s="1" t="s">
        <v>25</v>
      </c>
    </row>
    <row r="5" spans="1:5" x14ac:dyDescent="0.2">
      <c r="A5" s="1" t="s">
        <v>26</v>
      </c>
    </row>
    <row r="6" spans="1:5" x14ac:dyDescent="0.2">
      <c r="A6" s="1"/>
      <c r="B6" t="s">
        <v>27</v>
      </c>
    </row>
    <row r="7" spans="1:5" x14ac:dyDescent="0.2">
      <c r="A7" s="1"/>
      <c r="B7" t="s">
        <v>148</v>
      </c>
    </row>
    <row r="8" spans="1:5" x14ac:dyDescent="0.2">
      <c r="A8" s="1"/>
      <c r="B8" t="s">
        <v>100</v>
      </c>
    </row>
    <row r="9" spans="1:5" x14ac:dyDescent="0.2">
      <c r="A9" s="1" t="s">
        <v>28</v>
      </c>
    </row>
    <row r="10" spans="1:5" x14ac:dyDescent="0.2">
      <c r="B10" t="s">
        <v>29</v>
      </c>
    </row>
    <row r="11" spans="1:5" x14ac:dyDescent="0.2">
      <c r="B11" t="s">
        <v>101</v>
      </c>
    </row>
    <row r="14" spans="1:5" ht="17" thickBot="1" x14ac:dyDescent="0.25">
      <c r="A14" t="s">
        <v>30</v>
      </c>
    </row>
    <row r="15" spans="1:5" ht="17" thickBot="1" x14ac:dyDescent="0.25">
      <c r="B15" s="3" t="s">
        <v>31</v>
      </c>
      <c r="C15" s="3" t="s">
        <v>32</v>
      </c>
      <c r="D15" s="3" t="s">
        <v>33</v>
      </c>
      <c r="E15" s="3" t="s">
        <v>34</v>
      </c>
    </row>
    <row r="16" spans="1:5" ht="17" thickBot="1" x14ac:dyDescent="0.25">
      <c r="B16" s="2" t="s">
        <v>102</v>
      </c>
      <c r="C16" s="2" t="s">
        <v>42</v>
      </c>
      <c r="D16" s="5">
        <v>0</v>
      </c>
      <c r="E16" s="5">
        <v>10606000</v>
      </c>
    </row>
    <row r="19" spans="1:6" ht="17" thickBot="1" x14ac:dyDescent="0.25">
      <c r="A19" t="s">
        <v>35</v>
      </c>
    </row>
    <row r="20" spans="1:6" ht="17" thickBot="1" x14ac:dyDescent="0.25">
      <c r="B20" s="3" t="s">
        <v>31</v>
      </c>
      <c r="C20" s="3" t="s">
        <v>32</v>
      </c>
      <c r="D20" s="3" t="s">
        <v>33</v>
      </c>
      <c r="E20" s="3" t="s">
        <v>34</v>
      </c>
      <c r="F20" s="3" t="s">
        <v>36</v>
      </c>
    </row>
    <row r="21" spans="1:6" x14ac:dyDescent="0.2">
      <c r="B21" s="4" t="s">
        <v>103</v>
      </c>
      <c r="C21" s="4" t="s">
        <v>44</v>
      </c>
      <c r="D21" s="4">
        <v>0</v>
      </c>
      <c r="E21" s="4">
        <v>0</v>
      </c>
      <c r="F21" s="4" t="s">
        <v>45</v>
      </c>
    </row>
    <row r="22" spans="1:6" x14ac:dyDescent="0.2">
      <c r="B22" s="4" t="s">
        <v>104</v>
      </c>
      <c r="C22" s="4" t="s">
        <v>47</v>
      </c>
      <c r="D22" s="4">
        <v>0</v>
      </c>
      <c r="E22" s="4">
        <v>0</v>
      </c>
      <c r="F22" s="4" t="s">
        <v>45</v>
      </c>
    </row>
    <row r="23" spans="1:6" x14ac:dyDescent="0.2">
      <c r="B23" s="4" t="s">
        <v>105</v>
      </c>
      <c r="C23" s="4" t="s">
        <v>49</v>
      </c>
      <c r="D23" s="4">
        <v>0</v>
      </c>
      <c r="E23" s="4">
        <v>0</v>
      </c>
      <c r="F23" s="4" t="s">
        <v>45</v>
      </c>
    </row>
    <row r="24" spans="1:6" x14ac:dyDescent="0.2">
      <c r="B24" s="4" t="s">
        <v>106</v>
      </c>
      <c r="C24" s="4" t="s">
        <v>50</v>
      </c>
      <c r="D24" s="4">
        <v>0</v>
      </c>
      <c r="E24" s="4">
        <v>1400</v>
      </c>
      <c r="F24" s="4" t="s">
        <v>45</v>
      </c>
    </row>
    <row r="25" spans="1:6" x14ac:dyDescent="0.2">
      <c r="B25" s="4" t="s">
        <v>107</v>
      </c>
      <c r="C25" s="4" t="s">
        <v>51</v>
      </c>
      <c r="D25" s="4">
        <v>0</v>
      </c>
      <c r="E25" s="4">
        <v>0</v>
      </c>
      <c r="F25" s="4" t="s">
        <v>45</v>
      </c>
    </row>
    <row r="26" spans="1:6" x14ac:dyDescent="0.2">
      <c r="B26" s="4" t="s">
        <v>108</v>
      </c>
      <c r="C26" s="4" t="s">
        <v>52</v>
      </c>
      <c r="D26" s="4">
        <v>0</v>
      </c>
      <c r="E26" s="4">
        <v>1100</v>
      </c>
      <c r="F26" s="4" t="s">
        <v>45</v>
      </c>
    </row>
    <row r="27" spans="1:6" x14ac:dyDescent="0.2">
      <c r="B27" s="4" t="s">
        <v>109</v>
      </c>
      <c r="C27" s="4" t="s">
        <v>53</v>
      </c>
      <c r="D27" s="4">
        <v>0</v>
      </c>
      <c r="E27" s="4">
        <v>0</v>
      </c>
      <c r="F27" s="4" t="s">
        <v>45</v>
      </c>
    </row>
    <row r="28" spans="1:6" x14ac:dyDescent="0.2">
      <c r="B28" s="4" t="s">
        <v>110</v>
      </c>
      <c r="C28" s="4" t="s">
        <v>54</v>
      </c>
      <c r="D28" s="4">
        <v>0</v>
      </c>
      <c r="E28" s="4">
        <v>0</v>
      </c>
      <c r="F28" s="4" t="s">
        <v>45</v>
      </c>
    </row>
    <row r="29" spans="1:6" x14ac:dyDescent="0.2">
      <c r="B29" s="4" t="s">
        <v>111</v>
      </c>
      <c r="C29" s="4" t="s">
        <v>56</v>
      </c>
      <c r="D29" s="4">
        <v>0</v>
      </c>
      <c r="E29" s="4">
        <v>150</v>
      </c>
      <c r="F29" s="4" t="s">
        <v>45</v>
      </c>
    </row>
    <row r="30" spans="1:6" x14ac:dyDescent="0.2">
      <c r="B30" s="4" t="s">
        <v>43</v>
      </c>
      <c r="C30" s="4" t="s">
        <v>58</v>
      </c>
      <c r="D30" s="4">
        <v>0</v>
      </c>
      <c r="E30" s="4">
        <v>0</v>
      </c>
      <c r="F30" s="4" t="s">
        <v>45</v>
      </c>
    </row>
    <row r="31" spans="1:6" x14ac:dyDescent="0.2">
      <c r="B31" s="4" t="s">
        <v>46</v>
      </c>
      <c r="C31" s="4" t="s">
        <v>60</v>
      </c>
      <c r="D31" s="4">
        <v>0</v>
      </c>
      <c r="E31" s="4">
        <v>1400</v>
      </c>
      <c r="F31" s="4" t="s">
        <v>45</v>
      </c>
    </row>
    <row r="32" spans="1:6" x14ac:dyDescent="0.2">
      <c r="B32" s="4" t="s">
        <v>48</v>
      </c>
      <c r="C32" s="4" t="s">
        <v>61</v>
      </c>
      <c r="D32" s="4">
        <v>0</v>
      </c>
      <c r="E32" s="4">
        <v>0</v>
      </c>
      <c r="F32" s="4" t="s">
        <v>45</v>
      </c>
    </row>
    <row r="33" spans="1:7" x14ac:dyDescent="0.2">
      <c r="B33" s="4" t="s">
        <v>112</v>
      </c>
      <c r="C33" s="4" t="s">
        <v>72</v>
      </c>
      <c r="D33" s="4">
        <v>0</v>
      </c>
      <c r="E33" s="4">
        <v>0</v>
      </c>
      <c r="F33" s="4" t="s">
        <v>45</v>
      </c>
    </row>
    <row r="34" spans="1:7" x14ac:dyDescent="0.2">
      <c r="B34" s="4" t="s">
        <v>113</v>
      </c>
      <c r="C34" s="4" t="s">
        <v>73</v>
      </c>
      <c r="D34" s="4">
        <v>0</v>
      </c>
      <c r="E34" s="4">
        <v>0</v>
      </c>
      <c r="F34" s="4" t="s">
        <v>45</v>
      </c>
    </row>
    <row r="35" spans="1:7" x14ac:dyDescent="0.2">
      <c r="B35" s="4" t="s">
        <v>114</v>
      </c>
      <c r="C35" s="4" t="s">
        <v>74</v>
      </c>
      <c r="D35" s="4">
        <v>0</v>
      </c>
      <c r="E35" s="4">
        <v>0</v>
      </c>
      <c r="F35" s="4" t="s">
        <v>45</v>
      </c>
    </row>
    <row r="36" spans="1:7" x14ac:dyDescent="0.2">
      <c r="B36" s="4" t="s">
        <v>115</v>
      </c>
      <c r="C36" s="4" t="s">
        <v>75</v>
      </c>
      <c r="D36" s="4">
        <v>0</v>
      </c>
      <c r="E36" s="4">
        <v>1200</v>
      </c>
      <c r="F36" s="4" t="s">
        <v>45</v>
      </c>
    </row>
    <row r="37" spans="1:7" x14ac:dyDescent="0.2">
      <c r="B37" s="4" t="s">
        <v>116</v>
      </c>
      <c r="C37" s="4" t="s">
        <v>76</v>
      </c>
      <c r="D37" s="4">
        <v>0</v>
      </c>
      <c r="E37" s="4">
        <v>75</v>
      </c>
      <c r="F37" s="4" t="s">
        <v>45</v>
      </c>
    </row>
    <row r="38" spans="1:7" x14ac:dyDescent="0.2">
      <c r="B38" s="4" t="s">
        <v>117</v>
      </c>
      <c r="C38" s="4" t="s">
        <v>77</v>
      </c>
      <c r="D38" s="4">
        <v>0</v>
      </c>
      <c r="E38" s="4">
        <v>25</v>
      </c>
      <c r="F38" s="4" t="s">
        <v>45</v>
      </c>
    </row>
    <row r="39" spans="1:7" x14ac:dyDescent="0.2">
      <c r="B39" s="4" t="s">
        <v>118</v>
      </c>
      <c r="C39" s="4" t="s">
        <v>78</v>
      </c>
      <c r="D39" s="4">
        <v>0</v>
      </c>
      <c r="E39" s="4">
        <v>700</v>
      </c>
      <c r="F39" s="4" t="s">
        <v>45</v>
      </c>
    </row>
    <row r="40" spans="1:7" x14ac:dyDescent="0.2">
      <c r="B40" s="4" t="s">
        <v>119</v>
      </c>
      <c r="C40" s="4" t="s">
        <v>79</v>
      </c>
      <c r="D40" s="4">
        <v>0</v>
      </c>
      <c r="E40" s="4">
        <v>99.999999999999943</v>
      </c>
      <c r="F40" s="4" t="s">
        <v>45</v>
      </c>
    </row>
    <row r="41" spans="1:7" x14ac:dyDescent="0.2">
      <c r="B41" s="4" t="s">
        <v>120</v>
      </c>
      <c r="C41" s="4" t="s">
        <v>80</v>
      </c>
      <c r="D41" s="4">
        <v>0</v>
      </c>
      <c r="E41" s="4">
        <v>0</v>
      </c>
      <c r="F41" s="4" t="s">
        <v>45</v>
      </c>
    </row>
    <row r="42" spans="1:7" x14ac:dyDescent="0.2">
      <c r="B42" s="4" t="s">
        <v>121</v>
      </c>
      <c r="C42" s="4" t="s">
        <v>81</v>
      </c>
      <c r="D42" s="4">
        <v>0</v>
      </c>
      <c r="E42" s="4">
        <v>700</v>
      </c>
      <c r="F42" s="4" t="s">
        <v>45</v>
      </c>
    </row>
    <row r="43" spans="1:7" x14ac:dyDescent="0.2">
      <c r="B43" s="4" t="s">
        <v>122</v>
      </c>
      <c r="C43" s="4" t="s">
        <v>82</v>
      </c>
      <c r="D43" s="4">
        <v>0</v>
      </c>
      <c r="E43" s="4">
        <v>0</v>
      </c>
      <c r="F43" s="4" t="s">
        <v>45</v>
      </c>
    </row>
    <row r="44" spans="1:7" ht="17" thickBot="1" x14ac:dyDescent="0.25">
      <c r="B44" s="2" t="s">
        <v>123</v>
      </c>
      <c r="C44" s="2" t="s">
        <v>83</v>
      </c>
      <c r="D44" s="2">
        <v>0</v>
      </c>
      <c r="E44" s="2">
        <v>0</v>
      </c>
      <c r="F44" s="2" t="s">
        <v>45</v>
      </c>
    </row>
    <row r="47" spans="1:7" ht="17" thickBot="1" x14ac:dyDescent="0.25">
      <c r="A47" t="s">
        <v>37</v>
      </c>
    </row>
    <row r="48" spans="1:7" ht="17" thickBot="1" x14ac:dyDescent="0.25">
      <c r="B48" s="3" t="s">
        <v>31</v>
      </c>
      <c r="C48" s="3" t="s">
        <v>32</v>
      </c>
      <c r="D48" s="3" t="s">
        <v>38</v>
      </c>
      <c r="E48" s="3" t="s">
        <v>39</v>
      </c>
      <c r="F48" s="3" t="s">
        <v>40</v>
      </c>
      <c r="G48" s="3" t="s">
        <v>41</v>
      </c>
    </row>
    <row r="49" spans="2:7" x14ac:dyDescent="0.2">
      <c r="B49" s="4" t="s">
        <v>124</v>
      </c>
      <c r="C49" s="4" t="s">
        <v>62</v>
      </c>
      <c r="D49" s="4">
        <v>150</v>
      </c>
      <c r="E49" s="4" t="s">
        <v>125</v>
      </c>
      <c r="F49" s="4" t="s">
        <v>63</v>
      </c>
      <c r="G49" s="4">
        <v>1050</v>
      </c>
    </row>
    <row r="50" spans="2:7" x14ac:dyDescent="0.2">
      <c r="B50" s="4" t="s">
        <v>55</v>
      </c>
      <c r="C50" s="4" t="s">
        <v>64</v>
      </c>
      <c r="D50" s="4">
        <v>1100</v>
      </c>
      <c r="E50" s="4" t="s">
        <v>126</v>
      </c>
      <c r="F50" s="4" t="s">
        <v>65</v>
      </c>
      <c r="G50" s="4">
        <v>0</v>
      </c>
    </row>
    <row r="51" spans="2:7" x14ac:dyDescent="0.2">
      <c r="B51" s="4" t="s">
        <v>57</v>
      </c>
      <c r="C51" s="4" t="s">
        <v>66</v>
      </c>
      <c r="D51" s="4">
        <v>1400</v>
      </c>
      <c r="E51" s="4" t="s">
        <v>127</v>
      </c>
      <c r="F51" s="4" t="s">
        <v>65</v>
      </c>
      <c r="G51" s="4">
        <v>0</v>
      </c>
    </row>
    <row r="52" spans="2:7" x14ac:dyDescent="0.2">
      <c r="B52" s="4" t="s">
        <v>59</v>
      </c>
      <c r="C52" s="4" t="s">
        <v>67</v>
      </c>
      <c r="D52" s="4">
        <v>1400</v>
      </c>
      <c r="E52" s="4" t="s">
        <v>128</v>
      </c>
      <c r="F52" s="4" t="s">
        <v>65</v>
      </c>
      <c r="G52" s="4">
        <v>0</v>
      </c>
    </row>
    <row r="53" spans="2:7" x14ac:dyDescent="0.2">
      <c r="B53" s="4" t="s">
        <v>129</v>
      </c>
      <c r="C53" s="4" t="s">
        <v>68</v>
      </c>
      <c r="D53" s="4">
        <v>1400</v>
      </c>
      <c r="E53" s="4" t="s">
        <v>130</v>
      </c>
      <c r="F53" s="4" t="s">
        <v>65</v>
      </c>
      <c r="G53" s="4">
        <v>0</v>
      </c>
    </row>
    <row r="54" spans="2:7" x14ac:dyDescent="0.2">
      <c r="B54" s="4" t="s">
        <v>131</v>
      </c>
      <c r="C54" s="4" t="s">
        <v>69</v>
      </c>
      <c r="D54" s="4">
        <v>1100</v>
      </c>
      <c r="E54" s="4" t="s">
        <v>132</v>
      </c>
      <c r="F54" s="4" t="s">
        <v>65</v>
      </c>
      <c r="G54" s="4">
        <v>0</v>
      </c>
    </row>
    <row r="55" spans="2:7" x14ac:dyDescent="0.2">
      <c r="B55" s="4" t="s">
        <v>133</v>
      </c>
      <c r="C55" s="4" t="s">
        <v>70</v>
      </c>
      <c r="D55" s="4">
        <v>1550</v>
      </c>
      <c r="E55" s="4" t="s">
        <v>134</v>
      </c>
      <c r="F55" s="4" t="s">
        <v>63</v>
      </c>
      <c r="G55" s="4">
        <v>150</v>
      </c>
    </row>
    <row r="56" spans="2:7" x14ac:dyDescent="0.2">
      <c r="B56" s="4" t="s">
        <v>135</v>
      </c>
      <c r="C56" s="4" t="s">
        <v>149</v>
      </c>
      <c r="D56" s="4">
        <v>150</v>
      </c>
      <c r="E56" s="4" t="s">
        <v>136</v>
      </c>
      <c r="F56" s="4" t="s">
        <v>65</v>
      </c>
      <c r="G56" s="4">
        <v>0</v>
      </c>
    </row>
    <row r="57" spans="2:7" x14ac:dyDescent="0.2">
      <c r="B57" s="4" t="s">
        <v>137</v>
      </c>
      <c r="C57" s="4" t="s">
        <v>150</v>
      </c>
      <c r="D57" s="4">
        <v>1100</v>
      </c>
      <c r="E57" s="4" t="s">
        <v>138</v>
      </c>
      <c r="F57" s="4" t="s">
        <v>65</v>
      </c>
      <c r="G57" s="4">
        <v>0</v>
      </c>
    </row>
    <row r="58" spans="2:7" x14ac:dyDescent="0.2">
      <c r="B58" s="4" t="s">
        <v>139</v>
      </c>
      <c r="C58" s="4" t="s">
        <v>151</v>
      </c>
      <c r="D58" s="4">
        <v>1400</v>
      </c>
      <c r="E58" s="4" t="s">
        <v>140</v>
      </c>
      <c r="F58" s="4" t="s">
        <v>65</v>
      </c>
      <c r="G58" s="4">
        <v>0</v>
      </c>
    </row>
    <row r="59" spans="2:7" x14ac:dyDescent="0.2">
      <c r="B59" s="4" t="s">
        <v>141</v>
      </c>
      <c r="C59" s="4" t="s">
        <v>152</v>
      </c>
      <c r="D59" s="4">
        <v>1400</v>
      </c>
      <c r="E59" s="4" t="s">
        <v>142</v>
      </c>
      <c r="F59" s="4" t="s">
        <v>65</v>
      </c>
      <c r="G59" s="4">
        <v>0</v>
      </c>
    </row>
    <row r="60" spans="2:7" x14ac:dyDescent="0.2">
      <c r="B60" s="4" t="s">
        <v>143</v>
      </c>
      <c r="C60" s="4" t="s">
        <v>153</v>
      </c>
      <c r="D60" s="4">
        <v>1200</v>
      </c>
      <c r="E60" s="4" t="s">
        <v>154</v>
      </c>
      <c r="F60" s="4" t="s">
        <v>65</v>
      </c>
      <c r="G60" s="4">
        <v>0</v>
      </c>
    </row>
    <row r="61" spans="2:7" x14ac:dyDescent="0.2">
      <c r="B61" s="4" t="s">
        <v>144</v>
      </c>
      <c r="C61" s="4" t="s">
        <v>155</v>
      </c>
      <c r="D61" s="4">
        <v>900</v>
      </c>
      <c r="E61" s="4" t="s">
        <v>156</v>
      </c>
      <c r="F61" s="4" t="s">
        <v>65</v>
      </c>
      <c r="G61" s="4">
        <v>0</v>
      </c>
    </row>
    <row r="62" spans="2:7" ht="17" thickBot="1" x14ac:dyDescent="0.25">
      <c r="B62" s="2" t="s">
        <v>145</v>
      </c>
      <c r="C62" s="2" t="s">
        <v>157</v>
      </c>
      <c r="D62" s="2">
        <v>700</v>
      </c>
      <c r="E62" s="2" t="s">
        <v>158</v>
      </c>
      <c r="F62" s="2" t="s">
        <v>65</v>
      </c>
      <c r="G62" s="2">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4BEA2-2DC3-9744-903C-3F715D369014}">
  <sheetPr>
    <tabColor rgb="FFFF0000"/>
  </sheetPr>
  <dimension ref="A1:O24"/>
  <sheetViews>
    <sheetView zoomScale="58" workbookViewId="0">
      <selection activeCell="I41" sqref="I41"/>
    </sheetView>
  </sheetViews>
  <sheetFormatPr baseColWidth="10" defaultColWidth="10.83203125" defaultRowHeight="22" x14ac:dyDescent="0.3"/>
  <cols>
    <col min="1" max="2" width="21.1640625" style="8" bestFit="1" customWidth="1"/>
    <col min="3" max="3" width="13" style="8" customWidth="1"/>
    <col min="4" max="4" width="14.5" style="8" bestFit="1" customWidth="1"/>
    <col min="5" max="5" width="12.33203125" style="8" bestFit="1" customWidth="1"/>
    <col min="6" max="7" width="11" style="8" bestFit="1" customWidth="1"/>
    <col min="8" max="8" width="10.83203125" style="8"/>
    <col min="9" max="9" width="36.5" style="8" bestFit="1" customWidth="1"/>
    <col min="10" max="10" width="16.5" style="8" bestFit="1" customWidth="1"/>
    <col min="11" max="11" width="16.1640625" style="8" customWidth="1"/>
    <col min="12" max="12" width="17.83203125" style="8" bestFit="1" customWidth="1"/>
    <col min="13" max="13" width="14.5" style="8" bestFit="1" customWidth="1"/>
    <col min="14" max="14" width="25.5" style="8" bestFit="1" customWidth="1"/>
    <col min="15" max="15" width="15.83203125" style="8" bestFit="1" customWidth="1"/>
    <col min="16" max="16" width="13.33203125" style="8" bestFit="1" customWidth="1"/>
    <col min="17" max="16384" width="10.83203125" style="8"/>
  </cols>
  <sheetData>
    <row r="1" spans="1:14" x14ac:dyDescent="0.3">
      <c r="C1" s="9" t="s">
        <v>3</v>
      </c>
      <c r="D1" s="9"/>
    </row>
    <row r="2" spans="1:14" x14ac:dyDescent="0.3">
      <c r="A2" s="32" t="s">
        <v>0</v>
      </c>
      <c r="B2" s="22" t="s">
        <v>2</v>
      </c>
      <c r="C2" s="22" t="s">
        <v>2</v>
      </c>
      <c r="D2" s="23" t="s">
        <v>2</v>
      </c>
      <c r="E2" s="22" t="s">
        <v>2</v>
      </c>
      <c r="K2" s="9" t="s">
        <v>6</v>
      </c>
    </row>
    <row r="3" spans="1:14" x14ac:dyDescent="0.3">
      <c r="A3" s="21" t="s">
        <v>1</v>
      </c>
      <c r="B3" s="24" t="s">
        <v>10</v>
      </c>
      <c r="C3" s="24" t="s">
        <v>11</v>
      </c>
      <c r="D3" s="25" t="s">
        <v>12</v>
      </c>
      <c r="E3" s="24" t="s">
        <v>13</v>
      </c>
      <c r="I3" s="33" t="s">
        <v>4</v>
      </c>
      <c r="J3" s="22" t="s">
        <v>2</v>
      </c>
      <c r="K3" s="22" t="s">
        <v>2</v>
      </c>
      <c r="L3" s="22" t="s">
        <v>2</v>
      </c>
      <c r="M3" s="26" t="s">
        <v>2</v>
      </c>
    </row>
    <row r="4" spans="1:14" x14ac:dyDescent="0.3">
      <c r="A4" s="11" t="s">
        <v>7</v>
      </c>
      <c r="B4" s="12">
        <v>850</v>
      </c>
      <c r="C4" s="12">
        <v>720</v>
      </c>
      <c r="D4" s="12">
        <v>910</v>
      </c>
      <c r="E4" s="12">
        <v>750</v>
      </c>
      <c r="I4" s="27" t="s">
        <v>5</v>
      </c>
      <c r="J4" s="24" t="s">
        <v>10</v>
      </c>
      <c r="K4" s="24" t="s">
        <v>11</v>
      </c>
      <c r="L4" s="25" t="s">
        <v>12</v>
      </c>
      <c r="M4" s="24" t="s">
        <v>13</v>
      </c>
    </row>
    <row r="5" spans="1:14" x14ac:dyDescent="0.3">
      <c r="A5" s="11" t="s">
        <v>8</v>
      </c>
      <c r="B5" s="12">
        <v>970</v>
      </c>
      <c r="C5" s="12">
        <v>790</v>
      </c>
      <c r="D5" s="12">
        <v>1050</v>
      </c>
      <c r="E5" s="12">
        <v>880</v>
      </c>
      <c r="I5" s="11" t="s">
        <v>160</v>
      </c>
      <c r="J5" s="12">
        <v>2100</v>
      </c>
      <c r="K5" s="12">
        <v>2350</v>
      </c>
      <c r="L5" s="12">
        <v>2200</v>
      </c>
      <c r="M5" s="12">
        <v>1900</v>
      </c>
    </row>
    <row r="6" spans="1:14" x14ac:dyDescent="0.3">
      <c r="A6" s="11" t="s">
        <v>9</v>
      </c>
      <c r="B6" s="12">
        <v>900</v>
      </c>
      <c r="C6" s="12">
        <v>830</v>
      </c>
      <c r="D6" s="12">
        <v>780</v>
      </c>
      <c r="E6" s="12">
        <v>820</v>
      </c>
      <c r="I6" s="11" t="s">
        <v>161</v>
      </c>
      <c r="J6" s="12">
        <v>4100</v>
      </c>
      <c r="K6" s="12">
        <v>4300</v>
      </c>
      <c r="L6" s="12">
        <v>3950</v>
      </c>
      <c r="M6" s="12">
        <v>3900</v>
      </c>
    </row>
    <row r="7" spans="1:14" x14ac:dyDescent="0.3">
      <c r="I7" s="11" t="s">
        <v>162</v>
      </c>
      <c r="J7" s="12">
        <v>2600</v>
      </c>
      <c r="K7" s="12">
        <v>2300</v>
      </c>
      <c r="L7" s="12">
        <v>2500</v>
      </c>
      <c r="M7" s="12">
        <v>2800</v>
      </c>
    </row>
    <row r="9" spans="1:14" x14ac:dyDescent="0.3">
      <c r="C9" s="9"/>
    </row>
    <row r="10" spans="1:14" x14ac:dyDescent="0.3">
      <c r="A10" s="32" t="s">
        <v>14</v>
      </c>
      <c r="B10" s="22" t="s">
        <v>2</v>
      </c>
      <c r="C10" s="22" t="s">
        <v>2</v>
      </c>
      <c r="D10" s="22" t="s">
        <v>2</v>
      </c>
      <c r="E10" s="26" t="s">
        <v>2</v>
      </c>
      <c r="I10" s="10" t="s">
        <v>23</v>
      </c>
      <c r="L10" s="13"/>
      <c r="M10" s="14"/>
    </row>
    <row r="11" spans="1:14" x14ac:dyDescent="0.3">
      <c r="A11" s="21" t="s">
        <v>1</v>
      </c>
      <c r="B11" s="24" t="s">
        <v>10</v>
      </c>
      <c r="C11" s="24" t="s">
        <v>11</v>
      </c>
      <c r="D11" s="24" t="s">
        <v>12</v>
      </c>
      <c r="E11" s="37" t="s">
        <v>13</v>
      </c>
      <c r="F11" s="10" t="s">
        <v>17</v>
      </c>
      <c r="G11" s="10" t="s">
        <v>18</v>
      </c>
      <c r="I11" s="11" t="s">
        <v>160</v>
      </c>
      <c r="J11" s="15">
        <v>1</v>
      </c>
      <c r="L11" s="13"/>
      <c r="M11" s="14"/>
    </row>
    <row r="12" spans="1:14" x14ac:dyDescent="0.3">
      <c r="A12" s="11" t="s">
        <v>7</v>
      </c>
      <c r="B12" s="28">
        <v>0</v>
      </c>
      <c r="C12" s="28">
        <v>1100</v>
      </c>
      <c r="D12" s="28">
        <v>0</v>
      </c>
      <c r="E12" s="28">
        <v>1400</v>
      </c>
      <c r="F12" s="15">
        <v>2600</v>
      </c>
      <c r="G12" s="11">
        <f>SUM(B12:E12)</f>
        <v>2500</v>
      </c>
      <c r="I12" s="11" t="s">
        <v>161</v>
      </c>
      <c r="J12" s="15">
        <v>2</v>
      </c>
      <c r="L12" s="16"/>
      <c r="M12" s="16"/>
    </row>
    <row r="13" spans="1:14" x14ac:dyDescent="0.3">
      <c r="A13" s="11" t="s">
        <v>8</v>
      </c>
      <c r="B13" s="28">
        <v>0</v>
      </c>
      <c r="C13" s="28">
        <v>0</v>
      </c>
      <c r="D13" s="28">
        <v>0</v>
      </c>
      <c r="E13" s="28">
        <v>0</v>
      </c>
      <c r="F13" s="15">
        <v>1100</v>
      </c>
      <c r="G13" s="11">
        <f>SUM(B13:E13)</f>
        <v>0</v>
      </c>
      <c r="I13" s="11" t="s">
        <v>162</v>
      </c>
      <c r="J13" s="17">
        <v>1.5</v>
      </c>
      <c r="L13" s="16"/>
      <c r="M13" s="16"/>
    </row>
    <row r="14" spans="1:14" x14ac:dyDescent="0.3">
      <c r="A14" s="11" t="s">
        <v>9</v>
      </c>
      <c r="B14" s="28">
        <v>0</v>
      </c>
      <c r="C14" s="28">
        <v>0</v>
      </c>
      <c r="D14" s="28">
        <v>1550</v>
      </c>
      <c r="E14" s="28">
        <v>0</v>
      </c>
      <c r="F14" s="15">
        <v>1700</v>
      </c>
      <c r="G14" s="11">
        <f>SUM(B14:E14)</f>
        <v>1550</v>
      </c>
      <c r="H14" s="36"/>
      <c r="I14" s="35"/>
      <c r="J14" s="34"/>
      <c r="L14" s="16"/>
      <c r="N14" s="19"/>
    </row>
    <row r="15" spans="1:14" x14ac:dyDescent="0.3">
      <c r="A15" s="10" t="s">
        <v>15</v>
      </c>
      <c r="B15" s="18">
        <v>1200</v>
      </c>
      <c r="C15" s="18">
        <v>1100</v>
      </c>
      <c r="D15" s="18">
        <v>1550</v>
      </c>
      <c r="E15" s="18">
        <v>1400</v>
      </c>
    </row>
    <row r="16" spans="1:14" x14ac:dyDescent="0.3">
      <c r="A16" s="10" t="s">
        <v>16</v>
      </c>
      <c r="B16" s="20">
        <f>SUM(B12:B14)</f>
        <v>0</v>
      </c>
      <c r="C16" s="20">
        <f t="shared" ref="C16:E16" si="0">SUM(C12:C14)</f>
        <v>1100</v>
      </c>
      <c r="D16" s="20">
        <f t="shared" si="0"/>
        <v>1550</v>
      </c>
      <c r="E16" s="20">
        <f t="shared" si="0"/>
        <v>1400</v>
      </c>
      <c r="I16" s="33" t="s">
        <v>21</v>
      </c>
      <c r="J16" s="22" t="s">
        <v>2</v>
      </c>
      <c r="K16" s="22" t="s">
        <v>2</v>
      </c>
      <c r="L16" s="22" t="s">
        <v>2</v>
      </c>
      <c r="M16" s="26" t="s">
        <v>2</v>
      </c>
    </row>
    <row r="17" spans="1:15" x14ac:dyDescent="0.3">
      <c r="I17" s="27" t="s">
        <v>5</v>
      </c>
      <c r="J17" s="24" t="s">
        <v>10</v>
      </c>
      <c r="K17" s="24" t="s">
        <v>11</v>
      </c>
      <c r="L17" s="25" t="s">
        <v>12</v>
      </c>
      <c r="M17" s="24" t="s">
        <v>13</v>
      </c>
      <c r="N17" s="10" t="s">
        <v>20</v>
      </c>
      <c r="O17" s="10" t="s">
        <v>159</v>
      </c>
    </row>
    <row r="18" spans="1:15" x14ac:dyDescent="0.3">
      <c r="I18" s="11" t="s">
        <v>160</v>
      </c>
      <c r="J18" s="29">
        <v>0</v>
      </c>
      <c r="K18" s="29">
        <v>0</v>
      </c>
      <c r="L18" s="29">
        <v>0</v>
      </c>
      <c r="M18" s="29">
        <v>1200</v>
      </c>
      <c r="N18" s="15">
        <v>1200</v>
      </c>
      <c r="O18" s="20">
        <f>SUM(J18:M18)</f>
        <v>1200</v>
      </c>
    </row>
    <row r="19" spans="1:15" x14ac:dyDescent="0.3">
      <c r="A19" s="10" t="s">
        <v>97</v>
      </c>
      <c r="B19" s="30">
        <f>SUMPRODUCT(B4:E6,B12:E14)</f>
        <v>3051000</v>
      </c>
      <c r="E19" s="19"/>
      <c r="I19" s="11" t="s">
        <v>161</v>
      </c>
      <c r="J19" s="29">
        <v>0</v>
      </c>
      <c r="K19" s="29">
        <v>25</v>
      </c>
      <c r="L19" s="29">
        <v>775</v>
      </c>
      <c r="M19" s="29">
        <v>100</v>
      </c>
      <c r="N19" s="11">
        <v>900</v>
      </c>
      <c r="O19" s="20">
        <f>SUM(J19:M19)</f>
        <v>900</v>
      </c>
    </row>
    <row r="20" spans="1:15" x14ac:dyDescent="0.3">
      <c r="A20" s="10" t="s">
        <v>98</v>
      </c>
      <c r="B20" s="30">
        <f>SUMPRODUCT(J5:M7,J18:M20)</f>
        <v>7448750</v>
      </c>
      <c r="I20" s="11" t="s">
        <v>162</v>
      </c>
      <c r="J20" s="29">
        <v>0</v>
      </c>
      <c r="K20" s="29">
        <v>699.99999999999989</v>
      </c>
      <c r="L20" s="29">
        <v>0</v>
      </c>
      <c r="M20" s="29">
        <v>0</v>
      </c>
      <c r="N20" s="11">
        <v>700</v>
      </c>
      <c r="O20" s="20">
        <f t="shared" ref="O20" si="1">SUM(J20:M20)</f>
        <v>699.99999999999989</v>
      </c>
    </row>
    <row r="21" spans="1:15" x14ac:dyDescent="0.3">
      <c r="I21" s="10" t="s">
        <v>71</v>
      </c>
      <c r="J21" s="20">
        <f>B16</f>
        <v>0</v>
      </c>
      <c r="K21" s="20">
        <f>C16</f>
        <v>1100</v>
      </c>
      <c r="L21" s="20">
        <f t="shared" ref="L21:M21" si="2">D16</f>
        <v>1550</v>
      </c>
      <c r="M21" s="20">
        <f t="shared" si="2"/>
        <v>1400</v>
      </c>
    </row>
    <row r="22" spans="1:15" x14ac:dyDescent="0.3">
      <c r="A22" s="10" t="s">
        <v>19</v>
      </c>
      <c r="B22" s="31">
        <f>SUMPRODUCT(B4:E6,B12:E14) + SUMPRODUCT(J5:M7,J18:M20)</f>
        <v>10499750</v>
      </c>
      <c r="I22" s="10" t="s">
        <v>146</v>
      </c>
      <c r="J22" s="11">
        <f>J18*$J$11+J19*$J$12+J20*$J$13</f>
        <v>0</v>
      </c>
      <c r="K22" s="11">
        <f>K18*$J$11+K19*$J$12+K20*$J$13</f>
        <v>1099.9999999999998</v>
      </c>
      <c r="L22" s="11">
        <f>L18*$J$11+L19*$J$12+L20*$J$13</f>
        <v>1550</v>
      </c>
      <c r="M22" s="11">
        <f>M18*$J$11+M19*$J$12+M20*$J$13</f>
        <v>1400</v>
      </c>
    </row>
    <row r="24" spans="1:15" x14ac:dyDescent="0.3">
      <c r="L24" s="8" t="s">
        <v>22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C661B-A00B-284C-9854-614373EA8532}">
  <sheetPr>
    <tabColor theme="9" tint="0.59999389629810485"/>
  </sheetPr>
  <dimension ref="A1:G62"/>
  <sheetViews>
    <sheetView showGridLines="0" topLeftCell="A7" workbookViewId="0">
      <selection activeCell="E16" sqref="E16"/>
    </sheetView>
  </sheetViews>
  <sheetFormatPr baseColWidth="10" defaultColWidth="10.6640625" defaultRowHeight="16" x14ac:dyDescent="0.2"/>
  <cols>
    <col min="1" max="1" width="2.33203125" customWidth="1"/>
    <col min="2" max="2" width="6.6640625" bestFit="1" customWidth="1"/>
    <col min="3" max="3" width="34.1640625" bestFit="1" customWidth="1"/>
    <col min="4" max="5" width="15" bestFit="1" customWidth="1"/>
    <col min="6" max="6" width="10.5" bestFit="1" customWidth="1"/>
    <col min="7" max="7" width="5.6640625" bestFit="1" customWidth="1"/>
  </cols>
  <sheetData>
    <row r="1" spans="1:5" x14ac:dyDescent="0.2">
      <c r="A1" s="1" t="s">
        <v>24</v>
      </c>
    </row>
    <row r="2" spans="1:5" x14ac:dyDescent="0.2">
      <c r="A2" s="1" t="s">
        <v>163</v>
      </c>
    </row>
    <row r="3" spans="1:5" x14ac:dyDescent="0.2">
      <c r="A3" s="1" t="s">
        <v>191</v>
      </c>
    </row>
    <row r="4" spans="1:5" x14ac:dyDescent="0.2">
      <c r="A4" s="1" t="s">
        <v>25</v>
      </c>
    </row>
    <row r="5" spans="1:5" x14ac:dyDescent="0.2">
      <c r="A5" s="1" t="s">
        <v>26</v>
      </c>
    </row>
    <row r="6" spans="1:5" x14ac:dyDescent="0.2">
      <c r="A6" s="1"/>
      <c r="B6" t="s">
        <v>27</v>
      </c>
    </row>
    <row r="7" spans="1:5" x14ac:dyDescent="0.2">
      <c r="A7" s="1"/>
      <c r="B7" t="s">
        <v>192</v>
      </c>
    </row>
    <row r="8" spans="1:5" x14ac:dyDescent="0.2">
      <c r="A8" s="1"/>
      <c r="B8" t="s">
        <v>190</v>
      </c>
    </row>
    <row r="9" spans="1:5" x14ac:dyDescent="0.2">
      <c r="A9" s="1" t="s">
        <v>28</v>
      </c>
    </row>
    <row r="10" spans="1:5" x14ac:dyDescent="0.2">
      <c r="B10" t="s">
        <v>29</v>
      </c>
    </row>
    <row r="11" spans="1:5" x14ac:dyDescent="0.2">
      <c r="B11" t="s">
        <v>101</v>
      </c>
    </row>
    <row r="14" spans="1:5" ht="17" thickBot="1" x14ac:dyDescent="0.25">
      <c r="A14" t="s">
        <v>30</v>
      </c>
    </row>
    <row r="15" spans="1:5" ht="17" thickBot="1" x14ac:dyDescent="0.25">
      <c r="B15" s="3" t="s">
        <v>31</v>
      </c>
      <c r="C15" s="3" t="s">
        <v>32</v>
      </c>
      <c r="D15" s="3" t="s">
        <v>33</v>
      </c>
      <c r="E15" s="3" t="s">
        <v>34</v>
      </c>
    </row>
    <row r="16" spans="1:5" ht="17" thickBot="1" x14ac:dyDescent="0.25">
      <c r="B16" s="2" t="s">
        <v>102</v>
      </c>
      <c r="C16" s="2" t="s">
        <v>42</v>
      </c>
      <c r="D16" s="5">
        <v>10534750</v>
      </c>
      <c r="E16" s="5">
        <v>10499750</v>
      </c>
    </row>
    <row r="19" spans="1:6" ht="17" thickBot="1" x14ac:dyDescent="0.25">
      <c r="A19" t="s">
        <v>35</v>
      </c>
    </row>
    <row r="20" spans="1:6" ht="17" thickBot="1" x14ac:dyDescent="0.25">
      <c r="B20" s="3" t="s">
        <v>31</v>
      </c>
      <c r="C20" s="3" t="s">
        <v>32</v>
      </c>
      <c r="D20" s="3" t="s">
        <v>33</v>
      </c>
      <c r="E20" s="3" t="s">
        <v>34</v>
      </c>
      <c r="F20" s="3" t="s">
        <v>36</v>
      </c>
    </row>
    <row r="21" spans="1:6" x14ac:dyDescent="0.2">
      <c r="B21" s="4" t="s">
        <v>103</v>
      </c>
      <c r="C21" s="4" t="s">
        <v>44</v>
      </c>
      <c r="D21" s="4">
        <v>0</v>
      </c>
      <c r="E21" s="4">
        <v>0</v>
      </c>
      <c r="F21" s="4" t="s">
        <v>45</v>
      </c>
    </row>
    <row r="22" spans="1:6" x14ac:dyDescent="0.2">
      <c r="B22" s="4" t="s">
        <v>104</v>
      </c>
      <c r="C22" s="4" t="s">
        <v>47</v>
      </c>
      <c r="D22" s="4">
        <v>750</v>
      </c>
      <c r="E22" s="4">
        <v>1100</v>
      </c>
      <c r="F22" s="4" t="s">
        <v>45</v>
      </c>
    </row>
    <row r="23" spans="1:6" x14ac:dyDescent="0.2">
      <c r="B23" s="4" t="s">
        <v>105</v>
      </c>
      <c r="C23" s="4" t="s">
        <v>49</v>
      </c>
      <c r="D23" s="4">
        <v>0</v>
      </c>
      <c r="E23" s="4">
        <v>0</v>
      </c>
      <c r="F23" s="4" t="s">
        <v>45</v>
      </c>
    </row>
    <row r="24" spans="1:6" x14ac:dyDescent="0.2">
      <c r="B24" s="4" t="s">
        <v>106</v>
      </c>
      <c r="C24" s="4" t="s">
        <v>50</v>
      </c>
      <c r="D24" s="4">
        <v>1250</v>
      </c>
      <c r="E24" s="4">
        <v>1400</v>
      </c>
      <c r="F24" s="4" t="s">
        <v>45</v>
      </c>
    </row>
    <row r="25" spans="1:6" x14ac:dyDescent="0.2">
      <c r="B25" s="4" t="s">
        <v>107</v>
      </c>
      <c r="C25" s="4" t="s">
        <v>51</v>
      </c>
      <c r="D25" s="4">
        <v>0</v>
      </c>
      <c r="E25" s="4">
        <v>0</v>
      </c>
      <c r="F25" s="4" t="s">
        <v>45</v>
      </c>
    </row>
    <row r="26" spans="1:6" x14ac:dyDescent="0.2">
      <c r="B26" s="4" t="s">
        <v>108</v>
      </c>
      <c r="C26" s="4" t="s">
        <v>52</v>
      </c>
      <c r="D26" s="4">
        <v>350</v>
      </c>
      <c r="E26" s="4">
        <v>0</v>
      </c>
      <c r="F26" s="4" t="s">
        <v>45</v>
      </c>
    </row>
    <row r="27" spans="1:6" x14ac:dyDescent="0.2">
      <c r="B27" s="4" t="s">
        <v>109</v>
      </c>
      <c r="C27" s="4" t="s">
        <v>53</v>
      </c>
      <c r="D27" s="4">
        <v>0</v>
      </c>
      <c r="E27" s="4">
        <v>0</v>
      </c>
      <c r="F27" s="4" t="s">
        <v>45</v>
      </c>
    </row>
    <row r="28" spans="1:6" x14ac:dyDescent="0.2">
      <c r="B28" s="4" t="s">
        <v>110</v>
      </c>
      <c r="C28" s="4" t="s">
        <v>54</v>
      </c>
      <c r="D28" s="4">
        <v>0</v>
      </c>
      <c r="E28" s="4">
        <v>0</v>
      </c>
      <c r="F28" s="4" t="s">
        <v>45</v>
      </c>
    </row>
    <row r="29" spans="1:6" x14ac:dyDescent="0.2">
      <c r="B29" s="4" t="s">
        <v>111</v>
      </c>
      <c r="C29" s="4" t="s">
        <v>56</v>
      </c>
      <c r="D29" s="4">
        <v>0</v>
      </c>
      <c r="E29" s="4">
        <v>0</v>
      </c>
      <c r="F29" s="4" t="s">
        <v>45</v>
      </c>
    </row>
    <row r="30" spans="1:6" x14ac:dyDescent="0.2">
      <c r="B30" s="4" t="s">
        <v>43</v>
      </c>
      <c r="C30" s="4" t="s">
        <v>58</v>
      </c>
      <c r="D30" s="4">
        <v>0</v>
      </c>
      <c r="E30" s="4">
        <v>0</v>
      </c>
      <c r="F30" s="4" t="s">
        <v>45</v>
      </c>
    </row>
    <row r="31" spans="1:6" x14ac:dyDescent="0.2">
      <c r="B31" s="4" t="s">
        <v>46</v>
      </c>
      <c r="C31" s="4" t="s">
        <v>60</v>
      </c>
      <c r="D31" s="4">
        <v>1550</v>
      </c>
      <c r="E31" s="4">
        <v>1550</v>
      </c>
      <c r="F31" s="4" t="s">
        <v>45</v>
      </c>
    </row>
    <row r="32" spans="1:6" x14ac:dyDescent="0.2">
      <c r="B32" s="4" t="s">
        <v>48</v>
      </c>
      <c r="C32" s="4" t="s">
        <v>61</v>
      </c>
      <c r="D32" s="4">
        <v>150</v>
      </c>
      <c r="E32" s="4">
        <v>0</v>
      </c>
      <c r="F32" s="4" t="s">
        <v>45</v>
      </c>
    </row>
    <row r="33" spans="1:7" x14ac:dyDescent="0.2">
      <c r="B33" s="4" t="s">
        <v>112</v>
      </c>
      <c r="C33" s="4" t="s">
        <v>167</v>
      </c>
      <c r="D33" s="4">
        <v>0</v>
      </c>
      <c r="E33" s="4">
        <v>0</v>
      </c>
      <c r="F33" s="4" t="s">
        <v>45</v>
      </c>
    </row>
    <row r="34" spans="1:7" x14ac:dyDescent="0.2">
      <c r="B34" s="4" t="s">
        <v>113</v>
      </c>
      <c r="C34" s="4" t="s">
        <v>168</v>
      </c>
      <c r="D34" s="4">
        <v>0</v>
      </c>
      <c r="E34" s="4">
        <v>0</v>
      </c>
      <c r="F34" s="4" t="s">
        <v>45</v>
      </c>
    </row>
    <row r="35" spans="1:7" x14ac:dyDescent="0.2">
      <c r="B35" s="4" t="s">
        <v>114</v>
      </c>
      <c r="C35" s="4" t="s">
        <v>169</v>
      </c>
      <c r="D35" s="4">
        <v>0</v>
      </c>
      <c r="E35" s="4">
        <v>0</v>
      </c>
      <c r="F35" s="4" t="s">
        <v>45</v>
      </c>
    </row>
    <row r="36" spans="1:7" x14ac:dyDescent="0.2">
      <c r="B36" s="4" t="s">
        <v>115</v>
      </c>
      <c r="C36" s="4" t="s">
        <v>170</v>
      </c>
      <c r="D36" s="4">
        <v>1200</v>
      </c>
      <c r="E36" s="4">
        <v>1200</v>
      </c>
      <c r="F36" s="4" t="s">
        <v>45</v>
      </c>
    </row>
    <row r="37" spans="1:7" x14ac:dyDescent="0.2">
      <c r="B37" s="4" t="s">
        <v>116</v>
      </c>
      <c r="C37" s="4" t="s">
        <v>171</v>
      </c>
      <c r="D37" s="4">
        <v>0</v>
      </c>
      <c r="E37" s="4">
        <v>0</v>
      </c>
      <c r="F37" s="4" t="s">
        <v>45</v>
      </c>
    </row>
    <row r="38" spans="1:7" x14ac:dyDescent="0.2">
      <c r="B38" s="4" t="s">
        <v>117</v>
      </c>
      <c r="C38" s="4" t="s">
        <v>172</v>
      </c>
      <c r="D38" s="4">
        <v>25</v>
      </c>
      <c r="E38" s="4">
        <v>25</v>
      </c>
      <c r="F38" s="4" t="s">
        <v>45</v>
      </c>
    </row>
    <row r="39" spans="1:7" x14ac:dyDescent="0.2">
      <c r="B39" s="4" t="s">
        <v>118</v>
      </c>
      <c r="C39" s="4" t="s">
        <v>173</v>
      </c>
      <c r="D39" s="4">
        <v>775</v>
      </c>
      <c r="E39" s="4">
        <v>775</v>
      </c>
      <c r="F39" s="4" t="s">
        <v>45</v>
      </c>
    </row>
    <row r="40" spans="1:7" x14ac:dyDescent="0.2">
      <c r="B40" s="4" t="s">
        <v>119</v>
      </c>
      <c r="C40" s="4" t="s">
        <v>174</v>
      </c>
      <c r="D40" s="4">
        <v>99.999999999999943</v>
      </c>
      <c r="E40" s="4">
        <v>100</v>
      </c>
      <c r="F40" s="4" t="s">
        <v>45</v>
      </c>
    </row>
    <row r="41" spans="1:7" x14ac:dyDescent="0.2">
      <c r="B41" s="4" t="s">
        <v>120</v>
      </c>
      <c r="C41" s="4" t="s">
        <v>175</v>
      </c>
      <c r="D41" s="4">
        <v>0</v>
      </c>
      <c r="E41" s="4">
        <v>0</v>
      </c>
      <c r="F41" s="4" t="s">
        <v>45</v>
      </c>
    </row>
    <row r="42" spans="1:7" x14ac:dyDescent="0.2">
      <c r="B42" s="4" t="s">
        <v>121</v>
      </c>
      <c r="C42" s="4" t="s">
        <v>176</v>
      </c>
      <c r="D42" s="4">
        <v>700</v>
      </c>
      <c r="E42" s="4">
        <v>700</v>
      </c>
      <c r="F42" s="4" t="s">
        <v>45</v>
      </c>
    </row>
    <row r="43" spans="1:7" x14ac:dyDescent="0.2">
      <c r="B43" s="4" t="s">
        <v>122</v>
      </c>
      <c r="C43" s="4" t="s">
        <v>177</v>
      </c>
      <c r="D43" s="4">
        <v>0</v>
      </c>
      <c r="E43" s="4">
        <v>0</v>
      </c>
      <c r="F43" s="4" t="s">
        <v>45</v>
      </c>
    </row>
    <row r="44" spans="1:7" ht="17" thickBot="1" x14ac:dyDescent="0.25">
      <c r="B44" s="2" t="s">
        <v>123</v>
      </c>
      <c r="C44" s="2" t="s">
        <v>178</v>
      </c>
      <c r="D44" s="2">
        <v>0</v>
      </c>
      <c r="E44" s="2">
        <v>0</v>
      </c>
      <c r="F44" s="2" t="s">
        <v>45</v>
      </c>
    </row>
    <row r="47" spans="1:7" ht="17" thickBot="1" x14ac:dyDescent="0.25">
      <c r="A47" t="s">
        <v>37</v>
      </c>
    </row>
    <row r="48" spans="1:7" ht="17" thickBot="1" x14ac:dyDescent="0.25">
      <c r="B48" s="3" t="s">
        <v>31</v>
      </c>
      <c r="C48" s="3" t="s">
        <v>32</v>
      </c>
      <c r="D48" s="3" t="s">
        <v>38</v>
      </c>
      <c r="E48" s="3" t="s">
        <v>39</v>
      </c>
      <c r="F48" s="3" t="s">
        <v>40</v>
      </c>
      <c r="G48" s="3" t="s">
        <v>41</v>
      </c>
    </row>
    <row r="49" spans="2:7" x14ac:dyDescent="0.2">
      <c r="B49" s="4" t="s">
        <v>124</v>
      </c>
      <c r="C49" s="4" t="s">
        <v>62</v>
      </c>
      <c r="D49" s="4">
        <v>0</v>
      </c>
      <c r="E49" s="4" t="s">
        <v>125</v>
      </c>
      <c r="F49" s="4" t="s">
        <v>63</v>
      </c>
      <c r="G49" s="4">
        <v>1200</v>
      </c>
    </row>
    <row r="50" spans="2:7" x14ac:dyDescent="0.2">
      <c r="B50" s="4" t="s">
        <v>55</v>
      </c>
      <c r="C50" s="4" t="s">
        <v>64</v>
      </c>
      <c r="D50" s="4">
        <v>1100</v>
      </c>
      <c r="E50" s="4" t="s">
        <v>126</v>
      </c>
      <c r="F50" s="4" t="s">
        <v>65</v>
      </c>
      <c r="G50" s="4">
        <v>0</v>
      </c>
    </row>
    <row r="51" spans="2:7" x14ac:dyDescent="0.2">
      <c r="B51" s="4" t="s">
        <v>57</v>
      </c>
      <c r="C51" s="4" t="s">
        <v>66</v>
      </c>
      <c r="D51" s="4">
        <v>1550</v>
      </c>
      <c r="E51" s="4" t="s">
        <v>127</v>
      </c>
      <c r="F51" s="4" t="s">
        <v>65</v>
      </c>
      <c r="G51" s="4">
        <v>0</v>
      </c>
    </row>
    <row r="52" spans="2:7" x14ac:dyDescent="0.2">
      <c r="B52" s="4" t="s">
        <v>59</v>
      </c>
      <c r="C52" s="4" t="s">
        <v>67</v>
      </c>
      <c r="D52" s="4">
        <v>1400</v>
      </c>
      <c r="E52" s="4" t="s">
        <v>128</v>
      </c>
      <c r="F52" s="4" t="s">
        <v>65</v>
      </c>
      <c r="G52" s="4">
        <v>0</v>
      </c>
    </row>
    <row r="53" spans="2:7" x14ac:dyDescent="0.2">
      <c r="B53" s="4" t="s">
        <v>129</v>
      </c>
      <c r="C53" s="4" t="s">
        <v>68</v>
      </c>
      <c r="D53" s="4">
        <v>2500</v>
      </c>
      <c r="E53" s="4" t="s">
        <v>130</v>
      </c>
      <c r="F53" s="4" t="s">
        <v>65</v>
      </c>
      <c r="G53" s="4">
        <v>0</v>
      </c>
    </row>
    <row r="54" spans="2:7" x14ac:dyDescent="0.2">
      <c r="B54" s="4" t="s">
        <v>131</v>
      </c>
      <c r="C54" s="4" t="s">
        <v>69</v>
      </c>
      <c r="D54" s="4">
        <v>0</v>
      </c>
      <c r="E54" s="4" t="s">
        <v>132</v>
      </c>
      <c r="F54" s="4" t="s">
        <v>63</v>
      </c>
      <c r="G54" s="4">
        <v>1100</v>
      </c>
    </row>
    <row r="55" spans="2:7" x14ac:dyDescent="0.2">
      <c r="B55" s="4" t="s">
        <v>133</v>
      </c>
      <c r="C55" s="4" t="s">
        <v>70</v>
      </c>
      <c r="D55" s="4">
        <v>1550</v>
      </c>
      <c r="E55" s="4" t="s">
        <v>134</v>
      </c>
      <c r="F55" s="4" t="s">
        <v>63</v>
      </c>
      <c r="G55" s="4">
        <v>150</v>
      </c>
    </row>
    <row r="56" spans="2:7" x14ac:dyDescent="0.2">
      <c r="B56" s="4" t="s">
        <v>135</v>
      </c>
      <c r="C56" s="4" t="s">
        <v>149</v>
      </c>
      <c r="D56" s="4">
        <v>0</v>
      </c>
      <c r="E56" s="4" t="s">
        <v>136</v>
      </c>
      <c r="F56" s="4" t="s">
        <v>65</v>
      </c>
      <c r="G56" s="4">
        <v>0</v>
      </c>
    </row>
    <row r="57" spans="2:7" x14ac:dyDescent="0.2">
      <c r="B57" s="4" t="s">
        <v>137</v>
      </c>
      <c r="C57" s="4" t="s">
        <v>150</v>
      </c>
      <c r="D57" s="4">
        <v>1100</v>
      </c>
      <c r="E57" s="4" t="s">
        <v>138</v>
      </c>
      <c r="F57" s="4" t="s">
        <v>65</v>
      </c>
      <c r="G57" s="4">
        <v>0</v>
      </c>
    </row>
    <row r="58" spans="2:7" x14ac:dyDescent="0.2">
      <c r="B58" s="4" t="s">
        <v>139</v>
      </c>
      <c r="C58" s="4" t="s">
        <v>151</v>
      </c>
      <c r="D58" s="4">
        <v>1550</v>
      </c>
      <c r="E58" s="4" t="s">
        <v>140</v>
      </c>
      <c r="F58" s="4" t="s">
        <v>65</v>
      </c>
      <c r="G58" s="4">
        <v>0</v>
      </c>
    </row>
    <row r="59" spans="2:7" x14ac:dyDescent="0.2">
      <c r="B59" s="4" t="s">
        <v>141</v>
      </c>
      <c r="C59" s="4" t="s">
        <v>152</v>
      </c>
      <c r="D59" s="4">
        <v>1400</v>
      </c>
      <c r="E59" s="4" t="s">
        <v>142</v>
      </c>
      <c r="F59" s="4" t="s">
        <v>65</v>
      </c>
      <c r="G59" s="4">
        <v>0</v>
      </c>
    </row>
    <row r="60" spans="2:7" x14ac:dyDescent="0.2">
      <c r="B60" s="4" t="s">
        <v>143</v>
      </c>
      <c r="C60" s="4" t="s">
        <v>179</v>
      </c>
      <c r="D60" s="4">
        <v>1200</v>
      </c>
      <c r="E60" s="4" t="s">
        <v>154</v>
      </c>
      <c r="F60" s="4" t="s">
        <v>65</v>
      </c>
      <c r="G60" s="4">
        <v>0</v>
      </c>
    </row>
    <row r="61" spans="2:7" x14ac:dyDescent="0.2">
      <c r="B61" s="4" t="s">
        <v>144</v>
      </c>
      <c r="C61" s="4" t="s">
        <v>180</v>
      </c>
      <c r="D61" s="4">
        <v>900</v>
      </c>
      <c r="E61" s="4" t="s">
        <v>156</v>
      </c>
      <c r="F61" s="4" t="s">
        <v>65</v>
      </c>
      <c r="G61" s="4">
        <v>0</v>
      </c>
    </row>
    <row r="62" spans="2:7" ht="17" thickBot="1" x14ac:dyDescent="0.25">
      <c r="B62" s="2" t="s">
        <v>145</v>
      </c>
      <c r="C62" s="2" t="s">
        <v>181</v>
      </c>
      <c r="D62" s="2">
        <v>700</v>
      </c>
      <c r="E62" s="2" t="s">
        <v>158</v>
      </c>
      <c r="F62" s="2" t="s">
        <v>65</v>
      </c>
      <c r="G62" s="2">
        <v>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AC948-5C01-AB4B-80D3-E4A91D7A139D}">
  <dimension ref="A1:I62"/>
  <sheetViews>
    <sheetView showGridLines="0" topLeftCell="A6" workbookViewId="0">
      <selection activeCell="I37" sqref="I37"/>
    </sheetView>
  </sheetViews>
  <sheetFormatPr baseColWidth="10" defaultColWidth="10.6640625" defaultRowHeight="16" x14ac:dyDescent="0.2"/>
  <cols>
    <col min="1" max="1" width="2.33203125" customWidth="1"/>
    <col min="2" max="2" width="6.6640625" bestFit="1" customWidth="1"/>
    <col min="3" max="3" width="34.1640625" bestFit="1" customWidth="1"/>
    <col min="4" max="4" width="12.6640625" bestFit="1" customWidth="1"/>
    <col min="5" max="5" width="15" bestFit="1" customWidth="1"/>
    <col min="6" max="6" width="10.5" bestFit="1" customWidth="1"/>
    <col min="7" max="7" width="5.6640625" bestFit="1" customWidth="1"/>
  </cols>
  <sheetData>
    <row r="1" spans="1:5" x14ac:dyDescent="0.2">
      <c r="A1" s="1" t="s">
        <v>24</v>
      </c>
    </row>
    <row r="2" spans="1:5" x14ac:dyDescent="0.2">
      <c r="A2" s="1" t="s">
        <v>163</v>
      </c>
    </row>
    <row r="3" spans="1:5" x14ac:dyDescent="0.2">
      <c r="A3" s="1" t="s">
        <v>164</v>
      </c>
    </row>
    <row r="4" spans="1:5" x14ac:dyDescent="0.2">
      <c r="A4" s="1" t="s">
        <v>25</v>
      </c>
    </row>
    <row r="5" spans="1:5" x14ac:dyDescent="0.2">
      <c r="A5" s="1" t="s">
        <v>26</v>
      </c>
    </row>
    <row r="6" spans="1:5" x14ac:dyDescent="0.2">
      <c r="A6" s="1"/>
      <c r="B6" t="s">
        <v>27</v>
      </c>
    </row>
    <row r="7" spans="1:5" x14ac:dyDescent="0.2">
      <c r="A7" s="1"/>
      <c r="B7" t="s">
        <v>165</v>
      </c>
    </row>
    <row r="8" spans="1:5" x14ac:dyDescent="0.2">
      <c r="A8" s="1"/>
      <c r="B8" t="s">
        <v>166</v>
      </c>
    </row>
    <row r="9" spans="1:5" x14ac:dyDescent="0.2">
      <c r="A9" s="1" t="s">
        <v>28</v>
      </c>
    </row>
    <row r="10" spans="1:5" x14ac:dyDescent="0.2">
      <c r="B10" t="s">
        <v>29</v>
      </c>
    </row>
    <row r="11" spans="1:5" x14ac:dyDescent="0.2">
      <c r="B11" t="s">
        <v>101</v>
      </c>
    </row>
    <row r="14" spans="1:5" ht="17" thickBot="1" x14ac:dyDescent="0.25">
      <c r="A14" t="s">
        <v>30</v>
      </c>
    </row>
    <row r="15" spans="1:5" ht="17" thickBot="1" x14ac:dyDescent="0.25">
      <c r="B15" s="3" t="s">
        <v>31</v>
      </c>
      <c r="C15" s="3" t="s">
        <v>32</v>
      </c>
      <c r="D15" s="3" t="s">
        <v>33</v>
      </c>
      <c r="E15" s="3" t="s">
        <v>34</v>
      </c>
    </row>
    <row r="16" spans="1:5" ht="17" thickBot="1" x14ac:dyDescent="0.25">
      <c r="B16" s="2" t="s">
        <v>102</v>
      </c>
      <c r="C16" s="2" t="s">
        <v>42</v>
      </c>
      <c r="D16" s="5">
        <v>0</v>
      </c>
      <c r="E16" s="5">
        <v>10592750</v>
      </c>
    </row>
    <row r="18" spans="1:9" ht="20" x14ac:dyDescent="0.2">
      <c r="I18" s="39"/>
    </row>
    <row r="19" spans="1:9" ht="21" thickBot="1" x14ac:dyDescent="0.25">
      <c r="A19" t="s">
        <v>35</v>
      </c>
      <c r="I19" s="39"/>
    </row>
    <row r="20" spans="1:9" ht="21" thickBot="1" x14ac:dyDescent="0.25">
      <c r="B20" s="3" t="s">
        <v>31</v>
      </c>
      <c r="C20" s="3" t="s">
        <v>32</v>
      </c>
      <c r="D20" s="3" t="s">
        <v>33</v>
      </c>
      <c r="E20" s="3" t="s">
        <v>34</v>
      </c>
      <c r="F20" s="3" t="s">
        <v>36</v>
      </c>
      <c r="I20" s="39"/>
    </row>
    <row r="21" spans="1:9" x14ac:dyDescent="0.2">
      <c r="B21" s="4" t="s">
        <v>103</v>
      </c>
      <c r="C21" s="4" t="s">
        <v>44</v>
      </c>
      <c r="D21" s="4">
        <v>0</v>
      </c>
      <c r="E21" s="4">
        <v>0</v>
      </c>
      <c r="F21" s="4" t="s">
        <v>45</v>
      </c>
    </row>
    <row r="22" spans="1:9" x14ac:dyDescent="0.2">
      <c r="B22" s="4" t="s">
        <v>104</v>
      </c>
      <c r="C22" s="4" t="s">
        <v>47</v>
      </c>
      <c r="D22" s="4">
        <v>0</v>
      </c>
      <c r="E22" s="4">
        <v>49.999999999999993</v>
      </c>
      <c r="F22" s="4" t="s">
        <v>45</v>
      </c>
    </row>
    <row r="23" spans="1:9" x14ac:dyDescent="0.2">
      <c r="B23" s="4" t="s">
        <v>105</v>
      </c>
      <c r="C23" s="4" t="s">
        <v>49</v>
      </c>
      <c r="D23" s="4">
        <v>0</v>
      </c>
      <c r="E23" s="4">
        <v>0</v>
      </c>
      <c r="F23" s="4" t="s">
        <v>45</v>
      </c>
    </row>
    <row r="24" spans="1:9" x14ac:dyDescent="0.2">
      <c r="B24" s="4" t="s">
        <v>106</v>
      </c>
      <c r="C24" s="4" t="s">
        <v>50</v>
      </c>
      <c r="D24" s="4">
        <v>0</v>
      </c>
      <c r="E24" s="4">
        <v>1400</v>
      </c>
      <c r="F24" s="4" t="s">
        <v>45</v>
      </c>
    </row>
    <row r="25" spans="1:9" x14ac:dyDescent="0.2">
      <c r="B25" s="4" t="s">
        <v>107</v>
      </c>
      <c r="C25" s="4" t="s">
        <v>51</v>
      </c>
      <c r="D25" s="4">
        <v>0</v>
      </c>
      <c r="E25" s="4">
        <v>0</v>
      </c>
      <c r="F25" s="4" t="s">
        <v>45</v>
      </c>
    </row>
    <row r="26" spans="1:9" x14ac:dyDescent="0.2">
      <c r="B26" s="4" t="s">
        <v>108</v>
      </c>
      <c r="C26" s="4" t="s">
        <v>52</v>
      </c>
      <c r="D26" s="4">
        <v>0</v>
      </c>
      <c r="E26" s="4">
        <v>1050</v>
      </c>
      <c r="F26" s="4" t="s">
        <v>45</v>
      </c>
    </row>
    <row r="27" spans="1:9" x14ac:dyDescent="0.2">
      <c r="B27" s="4" t="s">
        <v>109</v>
      </c>
      <c r="C27" s="4" t="s">
        <v>53</v>
      </c>
      <c r="D27" s="4">
        <v>0</v>
      </c>
      <c r="E27" s="4">
        <v>0</v>
      </c>
      <c r="F27" s="4" t="s">
        <v>45</v>
      </c>
    </row>
    <row r="28" spans="1:9" x14ac:dyDescent="0.2">
      <c r="B28" s="4" t="s">
        <v>110</v>
      </c>
      <c r="C28" s="4" t="s">
        <v>54</v>
      </c>
      <c r="D28" s="4">
        <v>0</v>
      </c>
      <c r="E28" s="4">
        <v>0</v>
      </c>
      <c r="F28" s="4" t="s">
        <v>45</v>
      </c>
    </row>
    <row r="29" spans="1:9" x14ac:dyDescent="0.2">
      <c r="B29" s="4" t="s">
        <v>111</v>
      </c>
      <c r="C29" s="4" t="s">
        <v>56</v>
      </c>
      <c r="D29" s="4">
        <v>0</v>
      </c>
      <c r="E29" s="4">
        <v>100</v>
      </c>
      <c r="F29" s="4" t="s">
        <v>45</v>
      </c>
    </row>
    <row r="30" spans="1:9" x14ac:dyDescent="0.2">
      <c r="B30" s="4" t="s">
        <v>43</v>
      </c>
      <c r="C30" s="4" t="s">
        <v>58</v>
      </c>
      <c r="D30" s="4">
        <v>0</v>
      </c>
      <c r="E30" s="4">
        <v>0</v>
      </c>
      <c r="F30" s="4" t="s">
        <v>45</v>
      </c>
    </row>
    <row r="31" spans="1:9" x14ac:dyDescent="0.2">
      <c r="B31" s="4" t="s">
        <v>46</v>
      </c>
      <c r="C31" s="4" t="s">
        <v>60</v>
      </c>
      <c r="D31" s="4">
        <v>0</v>
      </c>
      <c r="E31" s="4">
        <v>1450</v>
      </c>
      <c r="F31" s="4" t="s">
        <v>45</v>
      </c>
    </row>
    <row r="32" spans="1:9" x14ac:dyDescent="0.2">
      <c r="B32" s="4" t="s">
        <v>48</v>
      </c>
      <c r="C32" s="4" t="s">
        <v>61</v>
      </c>
      <c r="D32" s="4">
        <v>0</v>
      </c>
      <c r="E32" s="4">
        <v>0</v>
      </c>
      <c r="F32" s="4" t="s">
        <v>45</v>
      </c>
    </row>
    <row r="33" spans="1:7" x14ac:dyDescent="0.2">
      <c r="B33" s="4" t="s">
        <v>112</v>
      </c>
      <c r="C33" s="4" t="s">
        <v>167</v>
      </c>
      <c r="D33" s="4">
        <v>0</v>
      </c>
      <c r="E33" s="4">
        <v>0</v>
      </c>
      <c r="F33" s="4" t="s">
        <v>45</v>
      </c>
    </row>
    <row r="34" spans="1:7" x14ac:dyDescent="0.2">
      <c r="B34" s="4" t="s">
        <v>113</v>
      </c>
      <c r="C34" s="4" t="s">
        <v>168</v>
      </c>
      <c r="D34" s="4">
        <v>0</v>
      </c>
      <c r="E34" s="4">
        <v>0</v>
      </c>
      <c r="F34" s="4" t="s">
        <v>45</v>
      </c>
    </row>
    <row r="35" spans="1:7" x14ac:dyDescent="0.2">
      <c r="B35" s="4" t="s">
        <v>114</v>
      </c>
      <c r="C35" s="4" t="s">
        <v>169</v>
      </c>
      <c r="D35" s="4">
        <v>0</v>
      </c>
      <c r="E35" s="4">
        <v>0</v>
      </c>
      <c r="F35" s="4" t="s">
        <v>45</v>
      </c>
    </row>
    <row r="36" spans="1:7" x14ac:dyDescent="0.2">
      <c r="B36" s="4" t="s">
        <v>115</v>
      </c>
      <c r="C36" s="4" t="s">
        <v>170</v>
      </c>
      <c r="D36" s="4">
        <v>0</v>
      </c>
      <c r="E36" s="4">
        <v>1200</v>
      </c>
      <c r="F36" s="4" t="s">
        <v>45</v>
      </c>
    </row>
    <row r="37" spans="1:7" x14ac:dyDescent="0.2">
      <c r="B37" s="4" t="s">
        <v>116</v>
      </c>
      <c r="C37" s="4" t="s">
        <v>171</v>
      </c>
      <c r="D37" s="4">
        <v>0</v>
      </c>
      <c r="E37" s="4">
        <v>50</v>
      </c>
      <c r="F37" s="4" t="s">
        <v>45</v>
      </c>
    </row>
    <row r="38" spans="1:7" x14ac:dyDescent="0.2">
      <c r="B38" s="4" t="s">
        <v>117</v>
      </c>
      <c r="C38" s="4" t="s">
        <v>172</v>
      </c>
      <c r="D38" s="4">
        <v>0</v>
      </c>
      <c r="E38" s="4">
        <v>25.000000000000114</v>
      </c>
      <c r="F38" s="4" t="s">
        <v>45</v>
      </c>
    </row>
    <row r="39" spans="1:7" x14ac:dyDescent="0.2">
      <c r="B39" s="4" t="s">
        <v>118</v>
      </c>
      <c r="C39" s="4" t="s">
        <v>173</v>
      </c>
      <c r="D39" s="4">
        <v>0</v>
      </c>
      <c r="E39" s="4">
        <v>725</v>
      </c>
      <c r="F39" s="4" t="s">
        <v>45</v>
      </c>
    </row>
    <row r="40" spans="1:7" x14ac:dyDescent="0.2">
      <c r="B40" s="4" t="s">
        <v>119</v>
      </c>
      <c r="C40" s="4" t="s">
        <v>174</v>
      </c>
      <c r="D40" s="4">
        <v>0</v>
      </c>
      <c r="E40" s="4">
        <v>99.999999999999886</v>
      </c>
      <c r="F40" s="4" t="s">
        <v>45</v>
      </c>
    </row>
    <row r="41" spans="1:7" x14ac:dyDescent="0.2">
      <c r="B41" s="4" t="s">
        <v>120</v>
      </c>
      <c r="C41" s="4" t="s">
        <v>175</v>
      </c>
      <c r="D41" s="4">
        <v>0</v>
      </c>
      <c r="E41" s="4">
        <v>0</v>
      </c>
      <c r="F41" s="4" t="s">
        <v>45</v>
      </c>
    </row>
    <row r="42" spans="1:7" x14ac:dyDescent="0.2">
      <c r="B42" s="4" t="s">
        <v>121</v>
      </c>
      <c r="C42" s="4" t="s">
        <v>176</v>
      </c>
      <c r="D42" s="4">
        <v>0</v>
      </c>
      <c r="E42" s="4">
        <v>699.99999999999989</v>
      </c>
      <c r="F42" s="4" t="s">
        <v>45</v>
      </c>
    </row>
    <row r="43" spans="1:7" x14ac:dyDescent="0.2">
      <c r="B43" s="4" t="s">
        <v>122</v>
      </c>
      <c r="C43" s="4" t="s">
        <v>177</v>
      </c>
      <c r="D43" s="4">
        <v>0</v>
      </c>
      <c r="E43" s="4">
        <v>0</v>
      </c>
      <c r="F43" s="4" t="s">
        <v>45</v>
      </c>
    </row>
    <row r="44" spans="1:7" ht="17" thickBot="1" x14ac:dyDescent="0.25">
      <c r="B44" s="2" t="s">
        <v>123</v>
      </c>
      <c r="C44" s="2" t="s">
        <v>178</v>
      </c>
      <c r="D44" s="2">
        <v>0</v>
      </c>
      <c r="E44" s="2">
        <v>0</v>
      </c>
      <c r="F44" s="2" t="s">
        <v>45</v>
      </c>
    </row>
    <row r="47" spans="1:7" ht="17" thickBot="1" x14ac:dyDescent="0.25">
      <c r="A47" t="s">
        <v>37</v>
      </c>
    </row>
    <row r="48" spans="1:7" ht="17" thickBot="1" x14ac:dyDescent="0.25">
      <c r="B48" s="3" t="s">
        <v>31</v>
      </c>
      <c r="C48" s="3" t="s">
        <v>32</v>
      </c>
      <c r="D48" s="3" t="s">
        <v>38</v>
      </c>
      <c r="E48" s="3" t="s">
        <v>39</v>
      </c>
      <c r="F48" s="3" t="s">
        <v>40</v>
      </c>
      <c r="G48" s="3" t="s">
        <v>41</v>
      </c>
    </row>
    <row r="49" spans="2:7" x14ac:dyDescent="0.2">
      <c r="B49" s="4" t="s">
        <v>124</v>
      </c>
      <c r="C49" s="4" t="s">
        <v>62</v>
      </c>
      <c r="D49" s="4">
        <v>100</v>
      </c>
      <c r="E49" s="4" t="s">
        <v>125</v>
      </c>
      <c r="F49" s="4" t="s">
        <v>63</v>
      </c>
      <c r="G49" s="4">
        <v>1100</v>
      </c>
    </row>
    <row r="50" spans="2:7" x14ac:dyDescent="0.2">
      <c r="B50" s="4" t="s">
        <v>55</v>
      </c>
      <c r="C50" s="4" t="s">
        <v>64</v>
      </c>
      <c r="D50" s="4">
        <v>1100</v>
      </c>
      <c r="E50" s="4" t="s">
        <v>126</v>
      </c>
      <c r="F50" s="4" t="s">
        <v>65</v>
      </c>
      <c r="G50" s="4">
        <v>0</v>
      </c>
    </row>
    <row r="51" spans="2:7" x14ac:dyDescent="0.2">
      <c r="B51" s="4" t="s">
        <v>57</v>
      </c>
      <c r="C51" s="4" t="s">
        <v>66</v>
      </c>
      <c r="D51" s="4">
        <v>1450</v>
      </c>
      <c r="E51" s="4" t="s">
        <v>127</v>
      </c>
      <c r="F51" s="4" t="s">
        <v>65</v>
      </c>
      <c r="G51" s="4">
        <v>0</v>
      </c>
    </row>
    <row r="52" spans="2:7" x14ac:dyDescent="0.2">
      <c r="B52" s="4" t="s">
        <v>59</v>
      </c>
      <c r="C52" s="4" t="s">
        <v>67</v>
      </c>
      <c r="D52" s="4">
        <v>1400</v>
      </c>
      <c r="E52" s="4" t="s">
        <v>128</v>
      </c>
      <c r="F52" s="4" t="s">
        <v>65</v>
      </c>
      <c r="G52" s="4">
        <v>0</v>
      </c>
    </row>
    <row r="53" spans="2:7" x14ac:dyDescent="0.2">
      <c r="B53" s="4" t="s">
        <v>129</v>
      </c>
      <c r="C53" s="4" t="s">
        <v>68</v>
      </c>
      <c r="D53" s="4">
        <v>1450</v>
      </c>
      <c r="E53" s="4" t="s">
        <v>130</v>
      </c>
      <c r="F53" s="4" t="s">
        <v>65</v>
      </c>
      <c r="G53" s="4">
        <v>0</v>
      </c>
    </row>
    <row r="54" spans="2:7" x14ac:dyDescent="0.2">
      <c r="B54" s="4" t="s">
        <v>131</v>
      </c>
      <c r="C54" s="4" t="s">
        <v>69</v>
      </c>
      <c r="D54" s="4">
        <v>1050</v>
      </c>
      <c r="E54" s="4" t="s">
        <v>132</v>
      </c>
      <c r="F54" s="4" t="s">
        <v>63</v>
      </c>
      <c r="G54" s="4">
        <v>50</v>
      </c>
    </row>
    <row r="55" spans="2:7" x14ac:dyDescent="0.2">
      <c r="B55" s="4" t="s">
        <v>133</v>
      </c>
      <c r="C55" s="4" t="s">
        <v>70</v>
      </c>
      <c r="D55" s="4">
        <v>1550</v>
      </c>
      <c r="E55" s="4" t="s">
        <v>134</v>
      </c>
      <c r="F55" s="4" t="s">
        <v>63</v>
      </c>
      <c r="G55" s="4">
        <v>150</v>
      </c>
    </row>
    <row r="56" spans="2:7" x14ac:dyDescent="0.2">
      <c r="B56" s="4" t="s">
        <v>135</v>
      </c>
      <c r="C56" s="4" t="s">
        <v>149</v>
      </c>
      <c r="D56" s="4">
        <v>100</v>
      </c>
      <c r="E56" s="4" t="s">
        <v>136</v>
      </c>
      <c r="F56" s="4" t="s">
        <v>65</v>
      </c>
      <c r="G56" s="4">
        <v>0</v>
      </c>
    </row>
    <row r="57" spans="2:7" x14ac:dyDescent="0.2">
      <c r="B57" s="4" t="s">
        <v>137</v>
      </c>
      <c r="C57" s="4" t="s">
        <v>150</v>
      </c>
      <c r="D57" s="4">
        <v>1100</v>
      </c>
      <c r="E57" s="4" t="s">
        <v>138</v>
      </c>
      <c r="F57" s="4" t="s">
        <v>65</v>
      </c>
      <c r="G57" s="4">
        <v>0</v>
      </c>
    </row>
    <row r="58" spans="2:7" x14ac:dyDescent="0.2">
      <c r="B58" s="4" t="s">
        <v>139</v>
      </c>
      <c r="C58" s="4" t="s">
        <v>151</v>
      </c>
      <c r="D58" s="4">
        <v>1450</v>
      </c>
      <c r="E58" s="4" t="s">
        <v>140</v>
      </c>
      <c r="F58" s="4" t="s">
        <v>65</v>
      </c>
      <c r="G58" s="4">
        <v>0</v>
      </c>
    </row>
    <row r="59" spans="2:7" x14ac:dyDescent="0.2">
      <c r="B59" s="4" t="s">
        <v>141</v>
      </c>
      <c r="C59" s="4" t="s">
        <v>152</v>
      </c>
      <c r="D59" s="4">
        <v>1399.9999999999998</v>
      </c>
      <c r="E59" s="4" t="s">
        <v>142</v>
      </c>
      <c r="F59" s="4" t="s">
        <v>65</v>
      </c>
      <c r="G59" s="4">
        <v>0</v>
      </c>
    </row>
    <row r="60" spans="2:7" x14ac:dyDescent="0.2">
      <c r="B60" s="4" t="s">
        <v>143</v>
      </c>
      <c r="C60" s="4" t="s">
        <v>179</v>
      </c>
      <c r="D60" s="4">
        <v>1200</v>
      </c>
      <c r="E60" s="4" t="s">
        <v>154</v>
      </c>
      <c r="F60" s="4" t="s">
        <v>65</v>
      </c>
      <c r="G60" s="4">
        <v>0</v>
      </c>
    </row>
    <row r="61" spans="2:7" x14ac:dyDescent="0.2">
      <c r="B61" s="4" t="s">
        <v>144</v>
      </c>
      <c r="C61" s="4" t="s">
        <v>180</v>
      </c>
      <c r="D61" s="4">
        <v>900</v>
      </c>
      <c r="E61" s="4" t="s">
        <v>156</v>
      </c>
      <c r="F61" s="4" t="s">
        <v>65</v>
      </c>
      <c r="G61" s="4">
        <v>0</v>
      </c>
    </row>
    <row r="62" spans="2:7" ht="17" thickBot="1" x14ac:dyDescent="0.25">
      <c r="B62" s="2" t="s">
        <v>145</v>
      </c>
      <c r="C62" s="2" t="s">
        <v>181</v>
      </c>
      <c r="D62" s="2">
        <v>699.99999999999989</v>
      </c>
      <c r="E62" s="2" t="s">
        <v>158</v>
      </c>
      <c r="F62" s="2" t="s">
        <v>65</v>
      </c>
      <c r="G62" s="2">
        <v>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152D6-50B9-2B4D-AC29-2D96D955C3ED}">
  <dimension ref="A1:G62"/>
  <sheetViews>
    <sheetView showGridLines="0" workbookViewId="0">
      <selection activeCell="J34" sqref="J34"/>
    </sheetView>
  </sheetViews>
  <sheetFormatPr baseColWidth="10" defaultColWidth="10.6640625" defaultRowHeight="16" x14ac:dyDescent="0.2"/>
  <cols>
    <col min="1" max="1" width="2.33203125" customWidth="1"/>
    <col min="2" max="2" width="6.6640625" bestFit="1" customWidth="1"/>
    <col min="3" max="3" width="34.1640625" bestFit="1" customWidth="1"/>
    <col min="4" max="5" width="15" bestFit="1" customWidth="1"/>
    <col min="6" max="6" width="10.5" bestFit="1" customWidth="1"/>
    <col min="7" max="7" width="5.6640625" bestFit="1" customWidth="1"/>
  </cols>
  <sheetData>
    <row r="1" spans="1:5" x14ac:dyDescent="0.2">
      <c r="A1" s="1" t="s">
        <v>24</v>
      </c>
    </row>
    <row r="2" spans="1:5" x14ac:dyDescent="0.2">
      <c r="A2" s="1" t="s">
        <v>163</v>
      </c>
    </row>
    <row r="3" spans="1:5" x14ac:dyDescent="0.2">
      <c r="A3" s="1" t="s">
        <v>182</v>
      </c>
    </row>
    <row r="4" spans="1:5" x14ac:dyDescent="0.2">
      <c r="A4" s="1" t="s">
        <v>25</v>
      </c>
    </row>
    <row r="5" spans="1:5" x14ac:dyDescent="0.2">
      <c r="A5" s="1" t="s">
        <v>26</v>
      </c>
    </row>
    <row r="6" spans="1:5" x14ac:dyDescent="0.2">
      <c r="A6" s="1"/>
      <c r="B6" t="s">
        <v>27</v>
      </c>
    </row>
    <row r="7" spans="1:5" x14ac:dyDescent="0.2">
      <c r="A7" s="1"/>
      <c r="B7" t="s">
        <v>183</v>
      </c>
    </row>
    <row r="8" spans="1:5" x14ac:dyDescent="0.2">
      <c r="A8" s="1"/>
      <c r="B8" t="s">
        <v>166</v>
      </c>
    </row>
    <row r="9" spans="1:5" x14ac:dyDescent="0.2">
      <c r="A9" s="1" t="s">
        <v>28</v>
      </c>
    </row>
    <row r="10" spans="1:5" x14ac:dyDescent="0.2">
      <c r="B10" t="s">
        <v>29</v>
      </c>
    </row>
    <row r="11" spans="1:5" x14ac:dyDescent="0.2">
      <c r="B11" t="s">
        <v>101</v>
      </c>
    </row>
    <row r="14" spans="1:5" ht="17" thickBot="1" x14ac:dyDescent="0.25">
      <c r="A14" t="s">
        <v>30</v>
      </c>
    </row>
    <row r="15" spans="1:5" ht="17" thickBot="1" x14ac:dyDescent="0.25">
      <c r="B15" s="3" t="s">
        <v>31</v>
      </c>
      <c r="C15" s="3" t="s">
        <v>32</v>
      </c>
      <c r="D15" s="3" t="s">
        <v>33</v>
      </c>
      <c r="E15" s="3" t="s">
        <v>34</v>
      </c>
    </row>
    <row r="16" spans="1:5" ht="17" thickBot="1" x14ac:dyDescent="0.25">
      <c r="B16" s="2" t="s">
        <v>102</v>
      </c>
      <c r="C16" s="2" t="s">
        <v>42</v>
      </c>
      <c r="D16" s="5">
        <v>10592750</v>
      </c>
      <c r="E16" s="5">
        <v>10579500</v>
      </c>
    </row>
    <row r="19" spans="1:6" ht="17" thickBot="1" x14ac:dyDescent="0.25">
      <c r="A19" t="s">
        <v>35</v>
      </c>
    </row>
    <row r="20" spans="1:6" ht="17" thickBot="1" x14ac:dyDescent="0.25">
      <c r="B20" s="3" t="s">
        <v>31</v>
      </c>
      <c r="C20" s="3" t="s">
        <v>32</v>
      </c>
      <c r="D20" s="3" t="s">
        <v>33</v>
      </c>
      <c r="E20" s="3" t="s">
        <v>34</v>
      </c>
      <c r="F20" s="3" t="s">
        <v>36</v>
      </c>
    </row>
    <row r="21" spans="1:6" x14ac:dyDescent="0.2">
      <c r="B21" s="4" t="s">
        <v>103</v>
      </c>
      <c r="C21" s="4" t="s">
        <v>44</v>
      </c>
      <c r="D21" s="4">
        <v>0</v>
      </c>
      <c r="E21" s="4">
        <v>0</v>
      </c>
      <c r="F21" s="4" t="s">
        <v>45</v>
      </c>
    </row>
    <row r="22" spans="1:6" x14ac:dyDescent="0.2">
      <c r="B22" s="4" t="s">
        <v>104</v>
      </c>
      <c r="C22" s="4" t="s">
        <v>47</v>
      </c>
      <c r="D22" s="4">
        <v>49.999999999999993</v>
      </c>
      <c r="E22" s="4">
        <v>99.999999999999986</v>
      </c>
      <c r="F22" s="4" t="s">
        <v>45</v>
      </c>
    </row>
    <row r="23" spans="1:6" x14ac:dyDescent="0.2">
      <c r="B23" s="4" t="s">
        <v>105</v>
      </c>
      <c r="C23" s="4" t="s">
        <v>49</v>
      </c>
      <c r="D23" s="4">
        <v>0</v>
      </c>
      <c r="E23" s="4">
        <v>0</v>
      </c>
      <c r="F23" s="4" t="s">
        <v>45</v>
      </c>
    </row>
    <row r="24" spans="1:6" x14ac:dyDescent="0.2">
      <c r="B24" s="4" t="s">
        <v>106</v>
      </c>
      <c r="C24" s="4" t="s">
        <v>50</v>
      </c>
      <c r="D24" s="4">
        <v>1400</v>
      </c>
      <c r="E24" s="4">
        <v>1400</v>
      </c>
      <c r="F24" s="4" t="s">
        <v>45</v>
      </c>
    </row>
    <row r="25" spans="1:6" x14ac:dyDescent="0.2">
      <c r="B25" s="4" t="s">
        <v>107</v>
      </c>
      <c r="C25" s="4" t="s">
        <v>51</v>
      </c>
      <c r="D25" s="4">
        <v>0</v>
      </c>
      <c r="E25" s="4">
        <v>0</v>
      </c>
      <c r="F25" s="4" t="s">
        <v>45</v>
      </c>
    </row>
    <row r="26" spans="1:6" x14ac:dyDescent="0.2">
      <c r="B26" s="4" t="s">
        <v>108</v>
      </c>
      <c r="C26" s="4" t="s">
        <v>52</v>
      </c>
      <c r="D26" s="4">
        <v>1050</v>
      </c>
      <c r="E26" s="4">
        <v>1000</v>
      </c>
      <c r="F26" s="4" t="s">
        <v>45</v>
      </c>
    </row>
    <row r="27" spans="1:6" x14ac:dyDescent="0.2">
      <c r="B27" s="4" t="s">
        <v>109</v>
      </c>
      <c r="C27" s="4" t="s">
        <v>53</v>
      </c>
      <c r="D27" s="4">
        <v>0</v>
      </c>
      <c r="E27" s="4">
        <v>0</v>
      </c>
      <c r="F27" s="4" t="s">
        <v>45</v>
      </c>
    </row>
    <row r="28" spans="1:6" x14ac:dyDescent="0.2">
      <c r="B28" s="4" t="s">
        <v>110</v>
      </c>
      <c r="C28" s="4" t="s">
        <v>54</v>
      </c>
      <c r="D28" s="4">
        <v>0</v>
      </c>
      <c r="E28" s="4">
        <v>0</v>
      </c>
      <c r="F28" s="4" t="s">
        <v>45</v>
      </c>
    </row>
    <row r="29" spans="1:6" x14ac:dyDescent="0.2">
      <c r="B29" s="4" t="s">
        <v>111</v>
      </c>
      <c r="C29" s="4" t="s">
        <v>56</v>
      </c>
      <c r="D29" s="4">
        <v>100</v>
      </c>
      <c r="E29" s="4">
        <v>50</v>
      </c>
      <c r="F29" s="4" t="s">
        <v>45</v>
      </c>
    </row>
    <row r="30" spans="1:6" x14ac:dyDescent="0.2">
      <c r="B30" s="4" t="s">
        <v>43</v>
      </c>
      <c r="C30" s="4" t="s">
        <v>58</v>
      </c>
      <c r="D30" s="4">
        <v>0</v>
      </c>
      <c r="E30" s="4">
        <v>0</v>
      </c>
      <c r="F30" s="4" t="s">
        <v>45</v>
      </c>
    </row>
    <row r="31" spans="1:6" x14ac:dyDescent="0.2">
      <c r="B31" s="4" t="s">
        <v>46</v>
      </c>
      <c r="C31" s="4" t="s">
        <v>60</v>
      </c>
      <c r="D31" s="4">
        <v>1450</v>
      </c>
      <c r="E31" s="4">
        <v>1500</v>
      </c>
      <c r="F31" s="4" t="s">
        <v>45</v>
      </c>
    </row>
    <row r="32" spans="1:6" x14ac:dyDescent="0.2">
      <c r="B32" s="4" t="s">
        <v>48</v>
      </c>
      <c r="C32" s="4" t="s">
        <v>61</v>
      </c>
      <c r="D32" s="4">
        <v>0</v>
      </c>
      <c r="E32" s="4">
        <v>0</v>
      </c>
      <c r="F32" s="4" t="s">
        <v>45</v>
      </c>
    </row>
    <row r="33" spans="1:7" x14ac:dyDescent="0.2">
      <c r="B33" s="4" t="s">
        <v>112</v>
      </c>
      <c r="C33" s="4" t="s">
        <v>167</v>
      </c>
      <c r="D33" s="4">
        <v>0</v>
      </c>
      <c r="E33" s="4">
        <v>0</v>
      </c>
      <c r="F33" s="4" t="s">
        <v>45</v>
      </c>
    </row>
    <row r="34" spans="1:7" x14ac:dyDescent="0.2">
      <c r="B34" s="4" t="s">
        <v>113</v>
      </c>
      <c r="C34" s="4" t="s">
        <v>168</v>
      </c>
      <c r="D34" s="4">
        <v>0</v>
      </c>
      <c r="E34" s="4">
        <v>0</v>
      </c>
      <c r="F34" s="4" t="s">
        <v>45</v>
      </c>
    </row>
    <row r="35" spans="1:7" x14ac:dyDescent="0.2">
      <c r="B35" s="4" t="s">
        <v>114</v>
      </c>
      <c r="C35" s="4" t="s">
        <v>169</v>
      </c>
      <c r="D35" s="4">
        <v>0</v>
      </c>
      <c r="E35" s="4">
        <v>0</v>
      </c>
      <c r="F35" s="4" t="s">
        <v>45</v>
      </c>
    </row>
    <row r="36" spans="1:7" x14ac:dyDescent="0.2">
      <c r="B36" s="4" t="s">
        <v>115</v>
      </c>
      <c r="C36" s="4" t="s">
        <v>170</v>
      </c>
      <c r="D36" s="4">
        <v>1200</v>
      </c>
      <c r="E36" s="4">
        <v>1200</v>
      </c>
      <c r="F36" s="4" t="s">
        <v>45</v>
      </c>
    </row>
    <row r="37" spans="1:7" x14ac:dyDescent="0.2">
      <c r="B37" s="4" t="s">
        <v>116</v>
      </c>
      <c r="C37" s="4" t="s">
        <v>171</v>
      </c>
      <c r="D37" s="4">
        <v>50</v>
      </c>
      <c r="E37" s="4">
        <v>25</v>
      </c>
      <c r="F37" s="4" t="s">
        <v>45</v>
      </c>
    </row>
    <row r="38" spans="1:7" x14ac:dyDescent="0.2">
      <c r="B38" s="4" t="s">
        <v>117</v>
      </c>
      <c r="C38" s="4" t="s">
        <v>172</v>
      </c>
      <c r="D38" s="4">
        <v>25.000000000000114</v>
      </c>
      <c r="E38" s="4">
        <v>25</v>
      </c>
      <c r="F38" s="4" t="s">
        <v>45</v>
      </c>
    </row>
    <row r="39" spans="1:7" x14ac:dyDescent="0.2">
      <c r="B39" s="4" t="s">
        <v>118</v>
      </c>
      <c r="C39" s="4" t="s">
        <v>173</v>
      </c>
      <c r="D39" s="4">
        <v>725</v>
      </c>
      <c r="E39" s="4">
        <v>750</v>
      </c>
      <c r="F39" s="4" t="s">
        <v>45</v>
      </c>
    </row>
    <row r="40" spans="1:7" x14ac:dyDescent="0.2">
      <c r="B40" s="4" t="s">
        <v>119</v>
      </c>
      <c r="C40" s="4" t="s">
        <v>174</v>
      </c>
      <c r="D40" s="4">
        <v>99.999999999999886</v>
      </c>
      <c r="E40" s="4">
        <v>100</v>
      </c>
      <c r="F40" s="4" t="s">
        <v>45</v>
      </c>
    </row>
    <row r="41" spans="1:7" x14ac:dyDescent="0.2">
      <c r="B41" s="4" t="s">
        <v>120</v>
      </c>
      <c r="C41" s="4" t="s">
        <v>175</v>
      </c>
      <c r="D41" s="4">
        <v>0</v>
      </c>
      <c r="E41" s="4">
        <v>0</v>
      </c>
      <c r="F41" s="4" t="s">
        <v>45</v>
      </c>
    </row>
    <row r="42" spans="1:7" x14ac:dyDescent="0.2">
      <c r="B42" s="4" t="s">
        <v>121</v>
      </c>
      <c r="C42" s="4" t="s">
        <v>176</v>
      </c>
      <c r="D42" s="4">
        <v>699.99999999999989</v>
      </c>
      <c r="E42" s="4">
        <v>699.99999999999989</v>
      </c>
      <c r="F42" s="4" t="s">
        <v>45</v>
      </c>
    </row>
    <row r="43" spans="1:7" x14ac:dyDescent="0.2">
      <c r="B43" s="4" t="s">
        <v>122</v>
      </c>
      <c r="C43" s="4" t="s">
        <v>177</v>
      </c>
      <c r="D43" s="4">
        <v>0</v>
      </c>
      <c r="E43" s="4">
        <v>0</v>
      </c>
      <c r="F43" s="4" t="s">
        <v>45</v>
      </c>
    </row>
    <row r="44" spans="1:7" ht="17" thickBot="1" x14ac:dyDescent="0.25">
      <c r="B44" s="2" t="s">
        <v>123</v>
      </c>
      <c r="C44" s="2" t="s">
        <v>178</v>
      </c>
      <c r="D44" s="2">
        <v>0</v>
      </c>
      <c r="E44" s="2">
        <v>0</v>
      </c>
      <c r="F44" s="2" t="s">
        <v>45</v>
      </c>
    </row>
    <row r="47" spans="1:7" ht="17" thickBot="1" x14ac:dyDescent="0.25">
      <c r="A47" t="s">
        <v>37</v>
      </c>
    </row>
    <row r="48" spans="1:7" ht="17" thickBot="1" x14ac:dyDescent="0.25">
      <c r="B48" s="3" t="s">
        <v>31</v>
      </c>
      <c r="C48" s="3" t="s">
        <v>32</v>
      </c>
      <c r="D48" s="3" t="s">
        <v>38</v>
      </c>
      <c r="E48" s="3" t="s">
        <v>39</v>
      </c>
      <c r="F48" s="3" t="s">
        <v>40</v>
      </c>
      <c r="G48" s="3" t="s">
        <v>41</v>
      </c>
    </row>
    <row r="49" spans="2:7" x14ac:dyDescent="0.2">
      <c r="B49" s="4" t="s">
        <v>124</v>
      </c>
      <c r="C49" s="4" t="s">
        <v>62</v>
      </c>
      <c r="D49" s="4">
        <v>50</v>
      </c>
      <c r="E49" s="4" t="s">
        <v>125</v>
      </c>
      <c r="F49" s="4" t="s">
        <v>63</v>
      </c>
      <c r="G49" s="4">
        <v>1150</v>
      </c>
    </row>
    <row r="50" spans="2:7" x14ac:dyDescent="0.2">
      <c r="B50" s="4" t="s">
        <v>55</v>
      </c>
      <c r="C50" s="4" t="s">
        <v>64</v>
      </c>
      <c r="D50" s="4">
        <v>1100</v>
      </c>
      <c r="E50" s="4" t="s">
        <v>126</v>
      </c>
      <c r="F50" s="4" t="s">
        <v>65</v>
      </c>
      <c r="G50" s="4">
        <v>0</v>
      </c>
    </row>
    <row r="51" spans="2:7" x14ac:dyDescent="0.2">
      <c r="B51" s="4" t="s">
        <v>57</v>
      </c>
      <c r="C51" s="4" t="s">
        <v>66</v>
      </c>
      <c r="D51" s="4">
        <v>1500</v>
      </c>
      <c r="E51" s="4" t="s">
        <v>127</v>
      </c>
      <c r="F51" s="4" t="s">
        <v>65</v>
      </c>
      <c r="G51" s="4">
        <v>0</v>
      </c>
    </row>
    <row r="52" spans="2:7" x14ac:dyDescent="0.2">
      <c r="B52" s="4" t="s">
        <v>59</v>
      </c>
      <c r="C52" s="4" t="s">
        <v>67</v>
      </c>
      <c r="D52" s="4">
        <v>1400</v>
      </c>
      <c r="E52" s="4" t="s">
        <v>128</v>
      </c>
      <c r="F52" s="4" t="s">
        <v>65</v>
      </c>
      <c r="G52" s="4">
        <v>0</v>
      </c>
    </row>
    <row r="53" spans="2:7" x14ac:dyDescent="0.2">
      <c r="B53" s="4" t="s">
        <v>129</v>
      </c>
      <c r="C53" s="4" t="s">
        <v>68</v>
      </c>
      <c r="D53" s="4">
        <v>1500</v>
      </c>
      <c r="E53" s="4" t="s">
        <v>130</v>
      </c>
      <c r="F53" s="4" t="s">
        <v>65</v>
      </c>
      <c r="G53" s="4">
        <v>0</v>
      </c>
    </row>
    <row r="54" spans="2:7" x14ac:dyDescent="0.2">
      <c r="B54" s="4" t="s">
        <v>131</v>
      </c>
      <c r="C54" s="4" t="s">
        <v>69</v>
      </c>
      <c r="D54" s="4">
        <v>1000</v>
      </c>
      <c r="E54" s="4" t="s">
        <v>132</v>
      </c>
      <c r="F54" s="4" t="s">
        <v>63</v>
      </c>
      <c r="G54" s="4">
        <v>100</v>
      </c>
    </row>
    <row r="55" spans="2:7" x14ac:dyDescent="0.2">
      <c r="B55" s="4" t="s">
        <v>133</v>
      </c>
      <c r="C55" s="4" t="s">
        <v>70</v>
      </c>
      <c r="D55" s="4">
        <v>1550</v>
      </c>
      <c r="E55" s="4" t="s">
        <v>134</v>
      </c>
      <c r="F55" s="4" t="s">
        <v>63</v>
      </c>
      <c r="G55" s="4">
        <v>150</v>
      </c>
    </row>
    <row r="56" spans="2:7" x14ac:dyDescent="0.2">
      <c r="B56" s="4" t="s">
        <v>135</v>
      </c>
      <c r="C56" s="4" t="s">
        <v>149</v>
      </c>
      <c r="D56" s="4">
        <v>50</v>
      </c>
      <c r="E56" s="4" t="s">
        <v>136</v>
      </c>
      <c r="F56" s="4" t="s">
        <v>65</v>
      </c>
      <c r="G56" s="4">
        <v>0</v>
      </c>
    </row>
    <row r="57" spans="2:7" x14ac:dyDescent="0.2">
      <c r="B57" s="4" t="s">
        <v>137</v>
      </c>
      <c r="C57" s="4" t="s">
        <v>150</v>
      </c>
      <c r="D57" s="4">
        <v>1099.9999999999998</v>
      </c>
      <c r="E57" s="4" t="s">
        <v>138</v>
      </c>
      <c r="F57" s="4" t="s">
        <v>65</v>
      </c>
      <c r="G57" s="4">
        <v>0</v>
      </c>
    </row>
    <row r="58" spans="2:7" x14ac:dyDescent="0.2">
      <c r="B58" s="4" t="s">
        <v>139</v>
      </c>
      <c r="C58" s="4" t="s">
        <v>151</v>
      </c>
      <c r="D58" s="4">
        <v>1500</v>
      </c>
      <c r="E58" s="4" t="s">
        <v>140</v>
      </c>
      <c r="F58" s="4" t="s">
        <v>65</v>
      </c>
      <c r="G58" s="4">
        <v>0</v>
      </c>
    </row>
    <row r="59" spans="2:7" x14ac:dyDescent="0.2">
      <c r="B59" s="4" t="s">
        <v>141</v>
      </c>
      <c r="C59" s="4" t="s">
        <v>152</v>
      </c>
      <c r="D59" s="4">
        <v>1400</v>
      </c>
      <c r="E59" s="4" t="s">
        <v>142</v>
      </c>
      <c r="F59" s="4" t="s">
        <v>65</v>
      </c>
      <c r="G59" s="4">
        <v>0</v>
      </c>
    </row>
    <row r="60" spans="2:7" x14ac:dyDescent="0.2">
      <c r="B60" s="4" t="s">
        <v>143</v>
      </c>
      <c r="C60" s="4" t="s">
        <v>179</v>
      </c>
      <c r="D60" s="4">
        <v>1200</v>
      </c>
      <c r="E60" s="4" t="s">
        <v>154</v>
      </c>
      <c r="F60" s="4" t="s">
        <v>65</v>
      </c>
      <c r="G60" s="4">
        <v>0</v>
      </c>
    </row>
    <row r="61" spans="2:7" x14ac:dyDescent="0.2">
      <c r="B61" s="4" t="s">
        <v>144</v>
      </c>
      <c r="C61" s="4" t="s">
        <v>180</v>
      </c>
      <c r="D61" s="4">
        <v>900</v>
      </c>
      <c r="E61" s="4" t="s">
        <v>156</v>
      </c>
      <c r="F61" s="4" t="s">
        <v>65</v>
      </c>
      <c r="G61" s="4">
        <v>0</v>
      </c>
    </row>
    <row r="62" spans="2:7" ht="17" thickBot="1" x14ac:dyDescent="0.25">
      <c r="B62" s="2" t="s">
        <v>145</v>
      </c>
      <c r="C62" s="2" t="s">
        <v>181</v>
      </c>
      <c r="D62" s="2">
        <v>699.99999999999989</v>
      </c>
      <c r="E62" s="2" t="s">
        <v>158</v>
      </c>
      <c r="F62" s="2" t="s">
        <v>65</v>
      </c>
      <c r="G62" s="2">
        <v>0</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FFA1A-0CCD-8342-BF19-D0DAB4B25EFD}">
  <dimension ref="A1:G62"/>
  <sheetViews>
    <sheetView showGridLines="0" topLeftCell="A43" workbookViewId="0">
      <selection activeCell="J76" sqref="J76"/>
    </sheetView>
  </sheetViews>
  <sheetFormatPr baseColWidth="10" defaultColWidth="10.6640625" defaultRowHeight="16" x14ac:dyDescent="0.2"/>
  <cols>
    <col min="1" max="1" width="2.33203125" customWidth="1"/>
    <col min="2" max="2" width="6.6640625" bestFit="1" customWidth="1"/>
    <col min="3" max="3" width="34.1640625" bestFit="1" customWidth="1"/>
    <col min="4" max="5" width="15" bestFit="1" customWidth="1"/>
    <col min="6" max="6" width="10.5" bestFit="1" customWidth="1"/>
    <col min="7" max="7" width="5.6640625" bestFit="1" customWidth="1"/>
  </cols>
  <sheetData>
    <row r="1" spans="1:5" x14ac:dyDescent="0.2">
      <c r="A1" s="1" t="s">
        <v>24</v>
      </c>
    </row>
    <row r="2" spans="1:5" x14ac:dyDescent="0.2">
      <c r="A2" s="1" t="s">
        <v>163</v>
      </c>
    </row>
    <row r="3" spans="1:5" x14ac:dyDescent="0.2">
      <c r="A3" s="1" t="s">
        <v>184</v>
      </c>
    </row>
    <row r="4" spans="1:5" x14ac:dyDescent="0.2">
      <c r="A4" s="1" t="s">
        <v>25</v>
      </c>
    </row>
    <row r="5" spans="1:5" x14ac:dyDescent="0.2">
      <c r="A5" s="1" t="s">
        <v>26</v>
      </c>
    </row>
    <row r="6" spans="1:5" x14ac:dyDescent="0.2">
      <c r="A6" s="1"/>
      <c r="B6" t="s">
        <v>27</v>
      </c>
    </row>
    <row r="7" spans="1:5" x14ac:dyDescent="0.2">
      <c r="A7" s="1"/>
      <c r="B7" t="s">
        <v>185</v>
      </c>
    </row>
    <row r="8" spans="1:5" x14ac:dyDescent="0.2">
      <c r="A8" s="1"/>
      <c r="B8" t="s">
        <v>166</v>
      </c>
    </row>
    <row r="9" spans="1:5" x14ac:dyDescent="0.2">
      <c r="A9" s="1" t="s">
        <v>28</v>
      </c>
    </row>
    <row r="10" spans="1:5" x14ac:dyDescent="0.2">
      <c r="B10" t="s">
        <v>29</v>
      </c>
    </row>
    <row r="11" spans="1:5" x14ac:dyDescent="0.2">
      <c r="B11" t="s">
        <v>101</v>
      </c>
    </row>
    <row r="14" spans="1:5" ht="17" thickBot="1" x14ac:dyDescent="0.25">
      <c r="A14" t="s">
        <v>30</v>
      </c>
    </row>
    <row r="15" spans="1:5" ht="17" thickBot="1" x14ac:dyDescent="0.25">
      <c r="B15" s="3" t="s">
        <v>31</v>
      </c>
      <c r="C15" s="3" t="s">
        <v>32</v>
      </c>
      <c r="D15" s="3" t="s">
        <v>33</v>
      </c>
      <c r="E15" s="3" t="s">
        <v>34</v>
      </c>
    </row>
    <row r="16" spans="1:5" ht="17" thickBot="1" x14ac:dyDescent="0.25">
      <c r="B16" s="2" t="s">
        <v>102</v>
      </c>
      <c r="C16" s="2" t="s">
        <v>42</v>
      </c>
      <c r="D16" s="5">
        <v>10579500</v>
      </c>
      <c r="E16" s="5">
        <v>10566250</v>
      </c>
    </row>
    <row r="19" spans="1:6" ht="17" thickBot="1" x14ac:dyDescent="0.25">
      <c r="A19" t="s">
        <v>35</v>
      </c>
    </row>
    <row r="20" spans="1:6" ht="17" thickBot="1" x14ac:dyDescent="0.25">
      <c r="B20" s="3" t="s">
        <v>31</v>
      </c>
      <c r="C20" s="3" t="s">
        <v>32</v>
      </c>
      <c r="D20" s="3" t="s">
        <v>33</v>
      </c>
      <c r="E20" s="3" t="s">
        <v>34</v>
      </c>
      <c r="F20" s="3" t="s">
        <v>36</v>
      </c>
    </row>
    <row r="21" spans="1:6" x14ac:dyDescent="0.2">
      <c r="B21" s="4" t="s">
        <v>103</v>
      </c>
      <c r="C21" s="4" t="s">
        <v>44</v>
      </c>
      <c r="D21" s="4">
        <v>0</v>
      </c>
      <c r="E21" s="4">
        <v>0</v>
      </c>
      <c r="F21" s="4" t="s">
        <v>45</v>
      </c>
    </row>
    <row r="22" spans="1:6" x14ac:dyDescent="0.2">
      <c r="B22" s="4" t="s">
        <v>104</v>
      </c>
      <c r="C22" s="4" t="s">
        <v>47</v>
      </c>
      <c r="D22" s="4">
        <v>99.999999999999986</v>
      </c>
      <c r="E22" s="4">
        <v>150</v>
      </c>
      <c r="F22" s="4" t="s">
        <v>45</v>
      </c>
    </row>
    <row r="23" spans="1:6" x14ac:dyDescent="0.2">
      <c r="B23" s="4" t="s">
        <v>105</v>
      </c>
      <c r="C23" s="4" t="s">
        <v>49</v>
      </c>
      <c r="D23" s="4">
        <v>0</v>
      </c>
      <c r="E23" s="4">
        <v>0</v>
      </c>
      <c r="F23" s="4" t="s">
        <v>45</v>
      </c>
    </row>
    <row r="24" spans="1:6" x14ac:dyDescent="0.2">
      <c r="B24" s="4" t="s">
        <v>106</v>
      </c>
      <c r="C24" s="4" t="s">
        <v>50</v>
      </c>
      <c r="D24" s="4">
        <v>1400</v>
      </c>
      <c r="E24" s="4">
        <v>1400</v>
      </c>
      <c r="F24" s="4" t="s">
        <v>45</v>
      </c>
    </row>
    <row r="25" spans="1:6" x14ac:dyDescent="0.2">
      <c r="B25" s="4" t="s">
        <v>107</v>
      </c>
      <c r="C25" s="4" t="s">
        <v>51</v>
      </c>
      <c r="D25" s="4">
        <v>0</v>
      </c>
      <c r="E25" s="4">
        <v>0</v>
      </c>
      <c r="F25" s="4" t="s">
        <v>45</v>
      </c>
    </row>
    <row r="26" spans="1:6" x14ac:dyDescent="0.2">
      <c r="B26" s="4" t="s">
        <v>108</v>
      </c>
      <c r="C26" s="4" t="s">
        <v>52</v>
      </c>
      <c r="D26" s="4">
        <v>1000</v>
      </c>
      <c r="E26" s="4">
        <v>950</v>
      </c>
      <c r="F26" s="4" t="s">
        <v>45</v>
      </c>
    </row>
    <row r="27" spans="1:6" x14ac:dyDescent="0.2">
      <c r="B27" s="4" t="s">
        <v>109</v>
      </c>
      <c r="C27" s="4" t="s">
        <v>53</v>
      </c>
      <c r="D27" s="4">
        <v>0</v>
      </c>
      <c r="E27" s="4">
        <v>0</v>
      </c>
      <c r="F27" s="4" t="s">
        <v>45</v>
      </c>
    </row>
    <row r="28" spans="1:6" x14ac:dyDescent="0.2">
      <c r="B28" s="4" t="s">
        <v>110</v>
      </c>
      <c r="C28" s="4" t="s">
        <v>54</v>
      </c>
      <c r="D28" s="4">
        <v>0</v>
      </c>
      <c r="E28" s="4">
        <v>0</v>
      </c>
      <c r="F28" s="4" t="s">
        <v>45</v>
      </c>
    </row>
    <row r="29" spans="1:6" x14ac:dyDescent="0.2">
      <c r="B29" s="4" t="s">
        <v>111</v>
      </c>
      <c r="C29" s="4" t="s">
        <v>56</v>
      </c>
      <c r="D29" s="4">
        <v>50</v>
      </c>
      <c r="E29" s="4">
        <v>0</v>
      </c>
      <c r="F29" s="4" t="s">
        <v>45</v>
      </c>
    </row>
    <row r="30" spans="1:6" x14ac:dyDescent="0.2">
      <c r="B30" s="4" t="s">
        <v>43</v>
      </c>
      <c r="C30" s="4" t="s">
        <v>58</v>
      </c>
      <c r="D30" s="4">
        <v>0</v>
      </c>
      <c r="E30" s="4">
        <v>0</v>
      </c>
      <c r="F30" s="4" t="s">
        <v>45</v>
      </c>
    </row>
    <row r="31" spans="1:6" x14ac:dyDescent="0.2">
      <c r="B31" s="4" t="s">
        <v>46</v>
      </c>
      <c r="C31" s="4" t="s">
        <v>60</v>
      </c>
      <c r="D31" s="4">
        <v>1500</v>
      </c>
      <c r="E31" s="4">
        <v>1550</v>
      </c>
      <c r="F31" s="4" t="s">
        <v>45</v>
      </c>
    </row>
    <row r="32" spans="1:6" x14ac:dyDescent="0.2">
      <c r="B32" s="4" t="s">
        <v>48</v>
      </c>
      <c r="C32" s="4" t="s">
        <v>61</v>
      </c>
      <c r="D32" s="4">
        <v>0</v>
      </c>
      <c r="E32" s="4">
        <v>0</v>
      </c>
      <c r="F32" s="4" t="s">
        <v>45</v>
      </c>
    </row>
    <row r="33" spans="1:7" x14ac:dyDescent="0.2">
      <c r="B33" s="4" t="s">
        <v>112</v>
      </c>
      <c r="C33" s="4" t="s">
        <v>167</v>
      </c>
      <c r="D33" s="4">
        <v>0</v>
      </c>
      <c r="E33" s="4">
        <v>0</v>
      </c>
      <c r="F33" s="4" t="s">
        <v>45</v>
      </c>
    </row>
    <row r="34" spans="1:7" x14ac:dyDescent="0.2">
      <c r="B34" s="4" t="s">
        <v>113</v>
      </c>
      <c r="C34" s="4" t="s">
        <v>168</v>
      </c>
      <c r="D34" s="4">
        <v>0</v>
      </c>
      <c r="E34" s="4">
        <v>0</v>
      </c>
      <c r="F34" s="4" t="s">
        <v>45</v>
      </c>
    </row>
    <row r="35" spans="1:7" x14ac:dyDescent="0.2">
      <c r="B35" s="4" t="s">
        <v>114</v>
      </c>
      <c r="C35" s="4" t="s">
        <v>169</v>
      </c>
      <c r="D35" s="4">
        <v>0</v>
      </c>
      <c r="E35" s="4">
        <v>0</v>
      </c>
      <c r="F35" s="4" t="s">
        <v>45</v>
      </c>
    </row>
    <row r="36" spans="1:7" x14ac:dyDescent="0.2">
      <c r="B36" s="4" t="s">
        <v>115</v>
      </c>
      <c r="C36" s="4" t="s">
        <v>170</v>
      </c>
      <c r="D36" s="4">
        <v>1200</v>
      </c>
      <c r="E36" s="4">
        <v>1200</v>
      </c>
      <c r="F36" s="4" t="s">
        <v>45</v>
      </c>
    </row>
    <row r="37" spans="1:7" x14ac:dyDescent="0.2">
      <c r="B37" s="4" t="s">
        <v>116</v>
      </c>
      <c r="C37" s="4" t="s">
        <v>171</v>
      </c>
      <c r="D37" s="4">
        <v>25</v>
      </c>
      <c r="E37" s="4">
        <v>0</v>
      </c>
      <c r="F37" s="4" t="s">
        <v>45</v>
      </c>
    </row>
    <row r="38" spans="1:7" x14ac:dyDescent="0.2">
      <c r="B38" s="4" t="s">
        <v>117</v>
      </c>
      <c r="C38" s="4" t="s">
        <v>172</v>
      </c>
      <c r="D38" s="4">
        <v>25</v>
      </c>
      <c r="E38" s="4">
        <v>25</v>
      </c>
      <c r="F38" s="4" t="s">
        <v>45</v>
      </c>
    </row>
    <row r="39" spans="1:7" x14ac:dyDescent="0.2">
      <c r="B39" s="4" t="s">
        <v>118</v>
      </c>
      <c r="C39" s="4" t="s">
        <v>173</v>
      </c>
      <c r="D39" s="4">
        <v>750</v>
      </c>
      <c r="E39" s="4">
        <v>775</v>
      </c>
      <c r="F39" s="4" t="s">
        <v>45</v>
      </c>
    </row>
    <row r="40" spans="1:7" x14ac:dyDescent="0.2">
      <c r="B40" s="4" t="s">
        <v>119</v>
      </c>
      <c r="C40" s="4" t="s">
        <v>174</v>
      </c>
      <c r="D40" s="4">
        <v>100</v>
      </c>
      <c r="E40" s="4">
        <v>100</v>
      </c>
      <c r="F40" s="4" t="s">
        <v>45</v>
      </c>
    </row>
    <row r="41" spans="1:7" x14ac:dyDescent="0.2">
      <c r="B41" s="4" t="s">
        <v>120</v>
      </c>
      <c r="C41" s="4" t="s">
        <v>175</v>
      </c>
      <c r="D41" s="4">
        <v>0</v>
      </c>
      <c r="E41" s="4">
        <v>0</v>
      </c>
      <c r="F41" s="4" t="s">
        <v>45</v>
      </c>
    </row>
    <row r="42" spans="1:7" x14ac:dyDescent="0.2">
      <c r="B42" s="4" t="s">
        <v>121</v>
      </c>
      <c r="C42" s="4" t="s">
        <v>176</v>
      </c>
      <c r="D42" s="4">
        <v>699.99999999999989</v>
      </c>
      <c r="E42" s="4">
        <v>700</v>
      </c>
      <c r="F42" s="4" t="s">
        <v>45</v>
      </c>
    </row>
    <row r="43" spans="1:7" x14ac:dyDescent="0.2">
      <c r="B43" s="4" t="s">
        <v>122</v>
      </c>
      <c r="C43" s="4" t="s">
        <v>177</v>
      </c>
      <c r="D43" s="4">
        <v>0</v>
      </c>
      <c r="E43" s="4">
        <v>0</v>
      </c>
      <c r="F43" s="4" t="s">
        <v>45</v>
      </c>
    </row>
    <row r="44" spans="1:7" ht="17" thickBot="1" x14ac:dyDescent="0.25">
      <c r="B44" s="2" t="s">
        <v>123</v>
      </c>
      <c r="C44" s="2" t="s">
        <v>178</v>
      </c>
      <c r="D44" s="2">
        <v>0</v>
      </c>
      <c r="E44" s="2">
        <v>0</v>
      </c>
      <c r="F44" s="2" t="s">
        <v>45</v>
      </c>
    </row>
    <row r="47" spans="1:7" ht="17" thickBot="1" x14ac:dyDescent="0.25">
      <c r="A47" t="s">
        <v>37</v>
      </c>
    </row>
    <row r="48" spans="1:7" ht="17" thickBot="1" x14ac:dyDescent="0.25">
      <c r="B48" s="3" t="s">
        <v>31</v>
      </c>
      <c r="C48" s="3" t="s">
        <v>32</v>
      </c>
      <c r="D48" s="3" t="s">
        <v>38</v>
      </c>
      <c r="E48" s="3" t="s">
        <v>39</v>
      </c>
      <c r="F48" s="3" t="s">
        <v>40</v>
      </c>
      <c r="G48" s="3" t="s">
        <v>41</v>
      </c>
    </row>
    <row r="49" spans="2:7" x14ac:dyDescent="0.2">
      <c r="B49" s="4" t="s">
        <v>124</v>
      </c>
      <c r="C49" s="4" t="s">
        <v>62</v>
      </c>
      <c r="D49" s="4">
        <v>0</v>
      </c>
      <c r="E49" s="4" t="s">
        <v>125</v>
      </c>
      <c r="F49" s="4" t="s">
        <v>63</v>
      </c>
      <c r="G49" s="4">
        <v>1200</v>
      </c>
    </row>
    <row r="50" spans="2:7" x14ac:dyDescent="0.2">
      <c r="B50" s="4" t="s">
        <v>55</v>
      </c>
      <c r="C50" s="4" t="s">
        <v>64</v>
      </c>
      <c r="D50" s="4">
        <v>1100</v>
      </c>
      <c r="E50" s="4" t="s">
        <v>126</v>
      </c>
      <c r="F50" s="4" t="s">
        <v>65</v>
      </c>
      <c r="G50" s="4">
        <v>0</v>
      </c>
    </row>
    <row r="51" spans="2:7" x14ac:dyDescent="0.2">
      <c r="B51" s="4" t="s">
        <v>57</v>
      </c>
      <c r="C51" s="4" t="s">
        <v>66</v>
      </c>
      <c r="D51" s="4">
        <v>1550</v>
      </c>
      <c r="E51" s="4" t="s">
        <v>127</v>
      </c>
      <c r="F51" s="4" t="s">
        <v>65</v>
      </c>
      <c r="G51" s="4">
        <v>0</v>
      </c>
    </row>
    <row r="52" spans="2:7" x14ac:dyDescent="0.2">
      <c r="B52" s="4" t="s">
        <v>59</v>
      </c>
      <c r="C52" s="4" t="s">
        <v>67</v>
      </c>
      <c r="D52" s="4">
        <v>1400</v>
      </c>
      <c r="E52" s="4" t="s">
        <v>128</v>
      </c>
      <c r="F52" s="4" t="s">
        <v>65</v>
      </c>
      <c r="G52" s="4">
        <v>0</v>
      </c>
    </row>
    <row r="53" spans="2:7" x14ac:dyDescent="0.2">
      <c r="B53" s="4" t="s">
        <v>129</v>
      </c>
      <c r="C53" s="4" t="s">
        <v>68</v>
      </c>
      <c r="D53" s="4">
        <v>1550</v>
      </c>
      <c r="E53" s="4" t="s">
        <v>130</v>
      </c>
      <c r="F53" s="4" t="s">
        <v>65</v>
      </c>
      <c r="G53" s="4">
        <v>0</v>
      </c>
    </row>
    <row r="54" spans="2:7" x14ac:dyDescent="0.2">
      <c r="B54" s="4" t="s">
        <v>131</v>
      </c>
      <c r="C54" s="4" t="s">
        <v>69</v>
      </c>
      <c r="D54" s="4">
        <v>950</v>
      </c>
      <c r="E54" s="4" t="s">
        <v>132</v>
      </c>
      <c r="F54" s="4" t="s">
        <v>63</v>
      </c>
      <c r="G54" s="4">
        <v>150</v>
      </c>
    </row>
    <row r="55" spans="2:7" x14ac:dyDescent="0.2">
      <c r="B55" s="4" t="s">
        <v>133</v>
      </c>
      <c r="C55" s="4" t="s">
        <v>70</v>
      </c>
      <c r="D55" s="4">
        <v>1550</v>
      </c>
      <c r="E55" s="4" t="s">
        <v>134</v>
      </c>
      <c r="F55" s="4" t="s">
        <v>63</v>
      </c>
      <c r="G55" s="4">
        <v>150</v>
      </c>
    </row>
    <row r="56" spans="2:7" x14ac:dyDescent="0.2">
      <c r="B56" s="4" t="s">
        <v>135</v>
      </c>
      <c r="C56" s="4" t="s">
        <v>149</v>
      </c>
      <c r="D56" s="4">
        <v>0</v>
      </c>
      <c r="E56" s="4" t="s">
        <v>136</v>
      </c>
      <c r="F56" s="4" t="s">
        <v>65</v>
      </c>
      <c r="G56" s="4">
        <v>0</v>
      </c>
    </row>
    <row r="57" spans="2:7" x14ac:dyDescent="0.2">
      <c r="B57" s="4" t="s">
        <v>137</v>
      </c>
      <c r="C57" s="4" t="s">
        <v>150</v>
      </c>
      <c r="D57" s="4">
        <v>1100</v>
      </c>
      <c r="E57" s="4" t="s">
        <v>138</v>
      </c>
      <c r="F57" s="4" t="s">
        <v>65</v>
      </c>
      <c r="G57" s="4">
        <v>0</v>
      </c>
    </row>
    <row r="58" spans="2:7" x14ac:dyDescent="0.2">
      <c r="B58" s="4" t="s">
        <v>139</v>
      </c>
      <c r="C58" s="4" t="s">
        <v>151</v>
      </c>
      <c r="D58" s="4">
        <v>1550</v>
      </c>
      <c r="E58" s="4" t="s">
        <v>140</v>
      </c>
      <c r="F58" s="4" t="s">
        <v>65</v>
      </c>
      <c r="G58" s="4">
        <v>0</v>
      </c>
    </row>
    <row r="59" spans="2:7" x14ac:dyDescent="0.2">
      <c r="B59" s="4" t="s">
        <v>141</v>
      </c>
      <c r="C59" s="4" t="s">
        <v>152</v>
      </c>
      <c r="D59" s="4">
        <v>1400</v>
      </c>
      <c r="E59" s="4" t="s">
        <v>142</v>
      </c>
      <c r="F59" s="4" t="s">
        <v>65</v>
      </c>
      <c r="G59" s="4">
        <v>0</v>
      </c>
    </row>
    <row r="60" spans="2:7" x14ac:dyDescent="0.2">
      <c r="B60" s="4" t="s">
        <v>143</v>
      </c>
      <c r="C60" s="4" t="s">
        <v>179</v>
      </c>
      <c r="D60" s="4">
        <v>1200</v>
      </c>
      <c r="E60" s="4" t="s">
        <v>154</v>
      </c>
      <c r="F60" s="4" t="s">
        <v>65</v>
      </c>
      <c r="G60" s="4">
        <v>0</v>
      </c>
    </row>
    <row r="61" spans="2:7" x14ac:dyDescent="0.2">
      <c r="B61" s="4" t="s">
        <v>144</v>
      </c>
      <c r="C61" s="4" t="s">
        <v>180</v>
      </c>
      <c r="D61" s="4">
        <v>900</v>
      </c>
      <c r="E61" s="4" t="s">
        <v>156</v>
      </c>
      <c r="F61" s="4" t="s">
        <v>65</v>
      </c>
      <c r="G61" s="4">
        <v>0</v>
      </c>
    </row>
    <row r="62" spans="2:7" ht="17" thickBot="1" x14ac:dyDescent="0.25">
      <c r="B62" s="2" t="s">
        <v>145</v>
      </c>
      <c r="C62" s="2" t="s">
        <v>181</v>
      </c>
      <c r="D62" s="2">
        <v>700</v>
      </c>
      <c r="E62" s="2" t="s">
        <v>158</v>
      </c>
      <c r="F62" s="2" t="s">
        <v>65</v>
      </c>
      <c r="G62" s="2">
        <v>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0B68C-8F0F-A744-88BF-5E1B0EC9C035}">
  <dimension ref="A1:G62"/>
  <sheetViews>
    <sheetView showGridLines="0" workbookViewId="0">
      <selection activeCell="J34" sqref="J34"/>
    </sheetView>
  </sheetViews>
  <sheetFormatPr baseColWidth="10" defaultColWidth="10.6640625" defaultRowHeight="16" x14ac:dyDescent="0.2"/>
  <cols>
    <col min="1" max="1" width="2.33203125" customWidth="1"/>
    <col min="2" max="2" width="6.6640625" bestFit="1" customWidth="1"/>
    <col min="3" max="3" width="34.1640625" bestFit="1" customWidth="1"/>
    <col min="4" max="5" width="15" bestFit="1" customWidth="1"/>
    <col min="6" max="6" width="10.5" bestFit="1" customWidth="1"/>
    <col min="7" max="7" width="5.6640625" bestFit="1" customWidth="1"/>
  </cols>
  <sheetData>
    <row r="1" spans="1:5" x14ac:dyDescent="0.2">
      <c r="A1" s="1" t="s">
        <v>24</v>
      </c>
    </row>
    <row r="2" spans="1:5" x14ac:dyDescent="0.2">
      <c r="A2" s="1" t="s">
        <v>163</v>
      </c>
    </row>
    <row r="3" spans="1:5" x14ac:dyDescent="0.2">
      <c r="A3" s="1" t="s">
        <v>186</v>
      </c>
    </row>
    <row r="4" spans="1:5" x14ac:dyDescent="0.2">
      <c r="A4" s="1" t="s">
        <v>25</v>
      </c>
    </row>
    <row r="5" spans="1:5" x14ac:dyDescent="0.2">
      <c r="A5" s="1" t="s">
        <v>26</v>
      </c>
    </row>
    <row r="6" spans="1:5" x14ac:dyDescent="0.2">
      <c r="A6" s="1"/>
      <c r="B6" t="s">
        <v>27</v>
      </c>
    </row>
    <row r="7" spans="1:5" x14ac:dyDescent="0.2">
      <c r="A7" s="1"/>
      <c r="B7" t="s">
        <v>187</v>
      </c>
    </row>
    <row r="8" spans="1:5" x14ac:dyDescent="0.2">
      <c r="A8" s="1"/>
      <c r="B8" t="s">
        <v>166</v>
      </c>
    </row>
    <row r="9" spans="1:5" x14ac:dyDescent="0.2">
      <c r="A9" s="1" t="s">
        <v>28</v>
      </c>
    </row>
    <row r="10" spans="1:5" x14ac:dyDescent="0.2">
      <c r="B10" t="s">
        <v>29</v>
      </c>
    </row>
    <row r="11" spans="1:5" x14ac:dyDescent="0.2">
      <c r="B11" t="s">
        <v>101</v>
      </c>
    </row>
    <row r="14" spans="1:5" ht="17" thickBot="1" x14ac:dyDescent="0.25">
      <c r="A14" t="s">
        <v>30</v>
      </c>
    </row>
    <row r="15" spans="1:5" ht="17" thickBot="1" x14ac:dyDescent="0.25">
      <c r="B15" s="3" t="s">
        <v>31</v>
      </c>
      <c r="C15" s="3" t="s">
        <v>32</v>
      </c>
      <c r="D15" s="3" t="s">
        <v>33</v>
      </c>
      <c r="E15" s="3" t="s">
        <v>34</v>
      </c>
    </row>
    <row r="16" spans="1:5" ht="17" thickBot="1" x14ac:dyDescent="0.25">
      <c r="B16" s="2" t="s">
        <v>102</v>
      </c>
      <c r="C16" s="2" t="s">
        <v>42</v>
      </c>
      <c r="D16" s="5">
        <v>10566250</v>
      </c>
      <c r="E16" s="5">
        <v>10555750</v>
      </c>
    </row>
    <row r="19" spans="1:6" ht="17" thickBot="1" x14ac:dyDescent="0.25">
      <c r="A19" t="s">
        <v>35</v>
      </c>
    </row>
    <row r="20" spans="1:6" ht="17" thickBot="1" x14ac:dyDescent="0.25">
      <c r="B20" s="3" t="s">
        <v>31</v>
      </c>
      <c r="C20" s="3" t="s">
        <v>32</v>
      </c>
      <c r="D20" s="3" t="s">
        <v>33</v>
      </c>
      <c r="E20" s="3" t="s">
        <v>34</v>
      </c>
      <c r="F20" s="3" t="s">
        <v>36</v>
      </c>
    </row>
    <row r="21" spans="1:6" x14ac:dyDescent="0.2">
      <c r="B21" s="4" t="s">
        <v>103</v>
      </c>
      <c r="C21" s="4" t="s">
        <v>44</v>
      </c>
      <c r="D21" s="4">
        <v>0</v>
      </c>
      <c r="E21" s="4">
        <v>0</v>
      </c>
      <c r="F21" s="4" t="s">
        <v>45</v>
      </c>
    </row>
    <row r="22" spans="1:6" x14ac:dyDescent="0.2">
      <c r="B22" s="4" t="s">
        <v>104</v>
      </c>
      <c r="C22" s="4" t="s">
        <v>47</v>
      </c>
      <c r="D22" s="4">
        <v>150</v>
      </c>
      <c r="E22" s="4">
        <v>300</v>
      </c>
      <c r="F22" s="4" t="s">
        <v>45</v>
      </c>
    </row>
    <row r="23" spans="1:6" x14ac:dyDescent="0.2">
      <c r="B23" s="4" t="s">
        <v>105</v>
      </c>
      <c r="C23" s="4" t="s">
        <v>49</v>
      </c>
      <c r="D23" s="4">
        <v>0</v>
      </c>
      <c r="E23" s="4">
        <v>0</v>
      </c>
      <c r="F23" s="4" t="s">
        <v>45</v>
      </c>
    </row>
    <row r="24" spans="1:6" x14ac:dyDescent="0.2">
      <c r="B24" s="4" t="s">
        <v>106</v>
      </c>
      <c r="C24" s="4" t="s">
        <v>50</v>
      </c>
      <c r="D24" s="4">
        <v>1400</v>
      </c>
      <c r="E24" s="4">
        <v>1400</v>
      </c>
      <c r="F24" s="4" t="s">
        <v>45</v>
      </c>
    </row>
    <row r="25" spans="1:6" x14ac:dyDescent="0.2">
      <c r="B25" s="4" t="s">
        <v>107</v>
      </c>
      <c r="C25" s="4" t="s">
        <v>51</v>
      </c>
      <c r="D25" s="4">
        <v>0</v>
      </c>
      <c r="E25" s="4">
        <v>0</v>
      </c>
      <c r="F25" s="4" t="s">
        <v>45</v>
      </c>
    </row>
    <row r="26" spans="1:6" x14ac:dyDescent="0.2">
      <c r="B26" s="4" t="s">
        <v>108</v>
      </c>
      <c r="C26" s="4" t="s">
        <v>52</v>
      </c>
      <c r="D26" s="4">
        <v>950</v>
      </c>
      <c r="E26" s="4">
        <v>800</v>
      </c>
      <c r="F26" s="4" t="s">
        <v>45</v>
      </c>
    </row>
    <row r="27" spans="1:6" x14ac:dyDescent="0.2">
      <c r="B27" s="4" t="s">
        <v>109</v>
      </c>
      <c r="C27" s="4" t="s">
        <v>53</v>
      </c>
      <c r="D27" s="4">
        <v>0</v>
      </c>
      <c r="E27" s="4">
        <v>0</v>
      </c>
      <c r="F27" s="4" t="s">
        <v>45</v>
      </c>
    </row>
    <row r="28" spans="1:6" x14ac:dyDescent="0.2">
      <c r="B28" s="4" t="s">
        <v>110</v>
      </c>
      <c r="C28" s="4" t="s">
        <v>54</v>
      </c>
      <c r="D28" s="4">
        <v>0</v>
      </c>
      <c r="E28" s="4">
        <v>0</v>
      </c>
      <c r="F28" s="4" t="s">
        <v>45</v>
      </c>
    </row>
    <row r="29" spans="1:6" x14ac:dyDescent="0.2">
      <c r="B29" s="4" t="s">
        <v>111</v>
      </c>
      <c r="C29" s="4" t="s">
        <v>56</v>
      </c>
      <c r="D29" s="4">
        <v>0</v>
      </c>
      <c r="E29" s="4">
        <v>0</v>
      </c>
      <c r="F29" s="4" t="s">
        <v>45</v>
      </c>
    </row>
    <row r="30" spans="1:6" x14ac:dyDescent="0.2">
      <c r="B30" s="4" t="s">
        <v>43</v>
      </c>
      <c r="C30" s="4" t="s">
        <v>58</v>
      </c>
      <c r="D30" s="4">
        <v>0</v>
      </c>
      <c r="E30" s="4">
        <v>0</v>
      </c>
      <c r="F30" s="4" t="s">
        <v>45</v>
      </c>
    </row>
    <row r="31" spans="1:6" x14ac:dyDescent="0.2">
      <c r="B31" s="4" t="s">
        <v>46</v>
      </c>
      <c r="C31" s="4" t="s">
        <v>60</v>
      </c>
      <c r="D31" s="4">
        <v>1550</v>
      </c>
      <c r="E31" s="4">
        <v>1550</v>
      </c>
      <c r="F31" s="4" t="s">
        <v>45</v>
      </c>
    </row>
    <row r="32" spans="1:6" x14ac:dyDescent="0.2">
      <c r="B32" s="4" t="s">
        <v>48</v>
      </c>
      <c r="C32" s="4" t="s">
        <v>61</v>
      </c>
      <c r="D32" s="4">
        <v>0</v>
      </c>
      <c r="E32" s="4">
        <v>0</v>
      </c>
      <c r="F32" s="4" t="s">
        <v>45</v>
      </c>
    </row>
    <row r="33" spans="1:7" x14ac:dyDescent="0.2">
      <c r="B33" s="4" t="s">
        <v>112</v>
      </c>
      <c r="C33" s="4" t="s">
        <v>167</v>
      </c>
      <c r="D33" s="4">
        <v>0</v>
      </c>
      <c r="E33" s="4">
        <v>0</v>
      </c>
      <c r="F33" s="4" t="s">
        <v>45</v>
      </c>
    </row>
    <row r="34" spans="1:7" x14ac:dyDescent="0.2">
      <c r="B34" s="4" t="s">
        <v>113</v>
      </c>
      <c r="C34" s="4" t="s">
        <v>168</v>
      </c>
      <c r="D34" s="4">
        <v>0</v>
      </c>
      <c r="E34" s="4">
        <v>0</v>
      </c>
      <c r="F34" s="4" t="s">
        <v>45</v>
      </c>
    </row>
    <row r="35" spans="1:7" x14ac:dyDescent="0.2">
      <c r="B35" s="4" t="s">
        <v>114</v>
      </c>
      <c r="C35" s="4" t="s">
        <v>169</v>
      </c>
      <c r="D35" s="4">
        <v>0</v>
      </c>
      <c r="E35" s="4">
        <v>0</v>
      </c>
      <c r="F35" s="4" t="s">
        <v>45</v>
      </c>
    </row>
    <row r="36" spans="1:7" x14ac:dyDescent="0.2">
      <c r="B36" s="4" t="s">
        <v>115</v>
      </c>
      <c r="C36" s="4" t="s">
        <v>170</v>
      </c>
      <c r="D36" s="4">
        <v>1200</v>
      </c>
      <c r="E36" s="4">
        <v>1200</v>
      </c>
      <c r="F36" s="4" t="s">
        <v>45</v>
      </c>
    </row>
    <row r="37" spans="1:7" x14ac:dyDescent="0.2">
      <c r="B37" s="4" t="s">
        <v>116</v>
      </c>
      <c r="C37" s="4" t="s">
        <v>171</v>
      </c>
      <c r="D37" s="4">
        <v>0</v>
      </c>
      <c r="E37" s="4">
        <v>0</v>
      </c>
      <c r="F37" s="4" t="s">
        <v>45</v>
      </c>
    </row>
    <row r="38" spans="1:7" x14ac:dyDescent="0.2">
      <c r="B38" s="4" t="s">
        <v>117</v>
      </c>
      <c r="C38" s="4" t="s">
        <v>172</v>
      </c>
      <c r="D38" s="4">
        <v>25</v>
      </c>
      <c r="E38" s="4">
        <v>25</v>
      </c>
      <c r="F38" s="4" t="s">
        <v>45</v>
      </c>
    </row>
    <row r="39" spans="1:7" x14ac:dyDescent="0.2">
      <c r="B39" s="4" t="s">
        <v>118</v>
      </c>
      <c r="C39" s="4" t="s">
        <v>173</v>
      </c>
      <c r="D39" s="4">
        <v>775</v>
      </c>
      <c r="E39" s="4">
        <v>775</v>
      </c>
      <c r="F39" s="4" t="s">
        <v>45</v>
      </c>
    </row>
    <row r="40" spans="1:7" x14ac:dyDescent="0.2">
      <c r="B40" s="4" t="s">
        <v>119</v>
      </c>
      <c r="C40" s="4" t="s">
        <v>174</v>
      </c>
      <c r="D40" s="4">
        <v>100</v>
      </c>
      <c r="E40" s="4">
        <v>100</v>
      </c>
      <c r="F40" s="4" t="s">
        <v>45</v>
      </c>
    </row>
    <row r="41" spans="1:7" x14ac:dyDescent="0.2">
      <c r="B41" s="4" t="s">
        <v>120</v>
      </c>
      <c r="C41" s="4" t="s">
        <v>175</v>
      </c>
      <c r="D41" s="4">
        <v>0</v>
      </c>
      <c r="E41" s="4">
        <v>0</v>
      </c>
      <c r="F41" s="4" t="s">
        <v>45</v>
      </c>
    </row>
    <row r="42" spans="1:7" x14ac:dyDescent="0.2">
      <c r="B42" s="4" t="s">
        <v>121</v>
      </c>
      <c r="C42" s="4" t="s">
        <v>176</v>
      </c>
      <c r="D42" s="4">
        <v>700</v>
      </c>
      <c r="E42" s="4">
        <v>700</v>
      </c>
      <c r="F42" s="4" t="s">
        <v>45</v>
      </c>
    </row>
    <row r="43" spans="1:7" x14ac:dyDescent="0.2">
      <c r="B43" s="4" t="s">
        <v>122</v>
      </c>
      <c r="C43" s="4" t="s">
        <v>177</v>
      </c>
      <c r="D43" s="4">
        <v>0</v>
      </c>
      <c r="E43" s="4">
        <v>0</v>
      </c>
      <c r="F43" s="4" t="s">
        <v>45</v>
      </c>
    </row>
    <row r="44" spans="1:7" ht="17" thickBot="1" x14ac:dyDescent="0.25">
      <c r="B44" s="2" t="s">
        <v>123</v>
      </c>
      <c r="C44" s="2" t="s">
        <v>178</v>
      </c>
      <c r="D44" s="2">
        <v>0</v>
      </c>
      <c r="E44" s="2">
        <v>0</v>
      </c>
      <c r="F44" s="2" t="s">
        <v>45</v>
      </c>
    </row>
    <row r="47" spans="1:7" ht="17" thickBot="1" x14ac:dyDescent="0.25">
      <c r="A47" t="s">
        <v>37</v>
      </c>
    </row>
    <row r="48" spans="1:7" ht="17" thickBot="1" x14ac:dyDescent="0.25">
      <c r="B48" s="3" t="s">
        <v>31</v>
      </c>
      <c r="C48" s="3" t="s">
        <v>32</v>
      </c>
      <c r="D48" s="3" t="s">
        <v>38</v>
      </c>
      <c r="E48" s="3" t="s">
        <v>39</v>
      </c>
      <c r="F48" s="3" t="s">
        <v>40</v>
      </c>
      <c r="G48" s="3" t="s">
        <v>41</v>
      </c>
    </row>
    <row r="49" spans="2:7" x14ac:dyDescent="0.2">
      <c r="B49" s="4" t="s">
        <v>124</v>
      </c>
      <c r="C49" s="4" t="s">
        <v>62</v>
      </c>
      <c r="D49" s="4">
        <v>0</v>
      </c>
      <c r="E49" s="4" t="s">
        <v>125</v>
      </c>
      <c r="F49" s="4" t="s">
        <v>63</v>
      </c>
      <c r="G49" s="4">
        <v>1200</v>
      </c>
    </row>
    <row r="50" spans="2:7" x14ac:dyDescent="0.2">
      <c r="B50" s="4" t="s">
        <v>55</v>
      </c>
      <c r="C50" s="4" t="s">
        <v>64</v>
      </c>
      <c r="D50" s="4">
        <v>1100</v>
      </c>
      <c r="E50" s="4" t="s">
        <v>126</v>
      </c>
      <c r="F50" s="4" t="s">
        <v>65</v>
      </c>
      <c r="G50" s="4">
        <v>0</v>
      </c>
    </row>
    <row r="51" spans="2:7" x14ac:dyDescent="0.2">
      <c r="B51" s="4" t="s">
        <v>57</v>
      </c>
      <c r="C51" s="4" t="s">
        <v>66</v>
      </c>
      <c r="D51" s="4">
        <v>1550</v>
      </c>
      <c r="E51" s="4" t="s">
        <v>127</v>
      </c>
      <c r="F51" s="4" t="s">
        <v>65</v>
      </c>
      <c r="G51" s="4">
        <v>0</v>
      </c>
    </row>
    <row r="52" spans="2:7" x14ac:dyDescent="0.2">
      <c r="B52" s="4" t="s">
        <v>59</v>
      </c>
      <c r="C52" s="4" t="s">
        <v>67</v>
      </c>
      <c r="D52" s="4">
        <v>1400</v>
      </c>
      <c r="E52" s="4" t="s">
        <v>128</v>
      </c>
      <c r="F52" s="4" t="s">
        <v>65</v>
      </c>
      <c r="G52" s="4">
        <v>0</v>
      </c>
    </row>
    <row r="53" spans="2:7" x14ac:dyDescent="0.2">
      <c r="B53" s="4" t="s">
        <v>129</v>
      </c>
      <c r="C53" s="4" t="s">
        <v>68</v>
      </c>
      <c r="D53" s="4">
        <v>1700</v>
      </c>
      <c r="E53" s="4" t="s">
        <v>130</v>
      </c>
      <c r="F53" s="4" t="s">
        <v>65</v>
      </c>
      <c r="G53" s="4">
        <v>0</v>
      </c>
    </row>
    <row r="54" spans="2:7" x14ac:dyDescent="0.2">
      <c r="B54" s="4" t="s">
        <v>131</v>
      </c>
      <c r="C54" s="4" t="s">
        <v>69</v>
      </c>
      <c r="D54" s="4">
        <v>800</v>
      </c>
      <c r="E54" s="4" t="s">
        <v>132</v>
      </c>
      <c r="F54" s="4" t="s">
        <v>63</v>
      </c>
      <c r="G54" s="4">
        <v>300</v>
      </c>
    </row>
    <row r="55" spans="2:7" x14ac:dyDescent="0.2">
      <c r="B55" s="4" t="s">
        <v>133</v>
      </c>
      <c r="C55" s="4" t="s">
        <v>70</v>
      </c>
      <c r="D55" s="4">
        <v>1550</v>
      </c>
      <c r="E55" s="4" t="s">
        <v>134</v>
      </c>
      <c r="F55" s="4" t="s">
        <v>63</v>
      </c>
      <c r="G55" s="4">
        <v>150</v>
      </c>
    </row>
    <row r="56" spans="2:7" x14ac:dyDescent="0.2">
      <c r="B56" s="4" t="s">
        <v>135</v>
      </c>
      <c r="C56" s="4" t="s">
        <v>149</v>
      </c>
      <c r="D56" s="4">
        <v>0</v>
      </c>
      <c r="E56" s="4" t="s">
        <v>136</v>
      </c>
      <c r="F56" s="4" t="s">
        <v>65</v>
      </c>
      <c r="G56" s="4">
        <v>0</v>
      </c>
    </row>
    <row r="57" spans="2:7" x14ac:dyDescent="0.2">
      <c r="B57" s="4" t="s">
        <v>137</v>
      </c>
      <c r="C57" s="4" t="s">
        <v>150</v>
      </c>
      <c r="D57" s="4">
        <v>1100</v>
      </c>
      <c r="E57" s="4" t="s">
        <v>138</v>
      </c>
      <c r="F57" s="4" t="s">
        <v>65</v>
      </c>
      <c r="G57" s="4">
        <v>0</v>
      </c>
    </row>
    <row r="58" spans="2:7" x14ac:dyDescent="0.2">
      <c r="B58" s="4" t="s">
        <v>139</v>
      </c>
      <c r="C58" s="4" t="s">
        <v>151</v>
      </c>
      <c r="D58" s="4">
        <v>1550</v>
      </c>
      <c r="E58" s="4" t="s">
        <v>140</v>
      </c>
      <c r="F58" s="4" t="s">
        <v>65</v>
      </c>
      <c r="G58" s="4">
        <v>0</v>
      </c>
    </row>
    <row r="59" spans="2:7" x14ac:dyDescent="0.2">
      <c r="B59" s="4" t="s">
        <v>141</v>
      </c>
      <c r="C59" s="4" t="s">
        <v>152</v>
      </c>
      <c r="D59" s="4">
        <v>1400</v>
      </c>
      <c r="E59" s="4" t="s">
        <v>142</v>
      </c>
      <c r="F59" s="4" t="s">
        <v>65</v>
      </c>
      <c r="G59" s="4">
        <v>0</v>
      </c>
    </row>
    <row r="60" spans="2:7" x14ac:dyDescent="0.2">
      <c r="B60" s="4" t="s">
        <v>143</v>
      </c>
      <c r="C60" s="4" t="s">
        <v>179</v>
      </c>
      <c r="D60" s="4">
        <v>1200</v>
      </c>
      <c r="E60" s="4" t="s">
        <v>154</v>
      </c>
      <c r="F60" s="4" t="s">
        <v>65</v>
      </c>
      <c r="G60" s="4">
        <v>0</v>
      </c>
    </row>
    <row r="61" spans="2:7" x14ac:dyDescent="0.2">
      <c r="B61" s="4" t="s">
        <v>144</v>
      </c>
      <c r="C61" s="4" t="s">
        <v>180</v>
      </c>
      <c r="D61" s="4">
        <v>900</v>
      </c>
      <c r="E61" s="4" t="s">
        <v>156</v>
      </c>
      <c r="F61" s="4" t="s">
        <v>65</v>
      </c>
      <c r="G61" s="4">
        <v>0</v>
      </c>
    </row>
    <row r="62" spans="2:7" ht="17" thickBot="1" x14ac:dyDescent="0.25">
      <c r="B62" s="2" t="s">
        <v>145</v>
      </c>
      <c r="C62" s="2" t="s">
        <v>181</v>
      </c>
      <c r="D62" s="2">
        <v>700</v>
      </c>
      <c r="E62" s="2" t="s">
        <v>158</v>
      </c>
      <c r="F62" s="2" t="s">
        <v>65</v>
      </c>
      <c r="G62" s="2">
        <v>0</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9DF4E-4C93-7943-8468-EC915BB5BB84}">
  <dimension ref="A1:G62"/>
  <sheetViews>
    <sheetView showGridLines="0" topLeftCell="A4" workbookViewId="0">
      <selection activeCell="H32" sqref="H32"/>
    </sheetView>
  </sheetViews>
  <sheetFormatPr baseColWidth="10" defaultColWidth="10.6640625" defaultRowHeight="16" x14ac:dyDescent="0.2"/>
  <cols>
    <col min="1" max="1" width="2.33203125" customWidth="1"/>
    <col min="2" max="2" width="6.6640625" bestFit="1" customWidth="1"/>
    <col min="3" max="3" width="34.1640625" bestFit="1" customWidth="1"/>
    <col min="4" max="5" width="15" bestFit="1" customWidth="1"/>
    <col min="6" max="6" width="10.5" bestFit="1" customWidth="1"/>
    <col min="7" max="7" width="5.6640625" bestFit="1" customWidth="1"/>
  </cols>
  <sheetData>
    <row r="1" spans="1:5" x14ac:dyDescent="0.2">
      <c r="A1" s="1" t="s">
        <v>24</v>
      </c>
    </row>
    <row r="2" spans="1:5" x14ac:dyDescent="0.2">
      <c r="A2" s="1" t="s">
        <v>163</v>
      </c>
    </row>
    <row r="3" spans="1:5" x14ac:dyDescent="0.2">
      <c r="A3" s="1" t="s">
        <v>188</v>
      </c>
    </row>
    <row r="4" spans="1:5" x14ac:dyDescent="0.2">
      <c r="A4" s="1" t="s">
        <v>25</v>
      </c>
    </row>
    <row r="5" spans="1:5" x14ac:dyDescent="0.2">
      <c r="A5" s="1" t="s">
        <v>26</v>
      </c>
    </row>
    <row r="6" spans="1:5" x14ac:dyDescent="0.2">
      <c r="A6" s="1"/>
      <c r="B6" t="s">
        <v>27</v>
      </c>
    </row>
    <row r="7" spans="1:5" x14ac:dyDescent="0.2">
      <c r="A7" s="1"/>
      <c r="B7" t="s">
        <v>189</v>
      </c>
    </row>
    <row r="8" spans="1:5" x14ac:dyDescent="0.2">
      <c r="A8" s="1"/>
      <c r="B8" t="s">
        <v>190</v>
      </c>
    </row>
    <row r="9" spans="1:5" x14ac:dyDescent="0.2">
      <c r="A9" s="1" t="s">
        <v>28</v>
      </c>
    </row>
    <row r="10" spans="1:5" x14ac:dyDescent="0.2">
      <c r="B10" t="s">
        <v>29</v>
      </c>
    </row>
    <row r="11" spans="1:5" x14ac:dyDescent="0.2">
      <c r="B11" t="s">
        <v>101</v>
      </c>
    </row>
    <row r="14" spans="1:5" ht="17" thickBot="1" x14ac:dyDescent="0.25">
      <c r="A14" t="s">
        <v>30</v>
      </c>
    </row>
    <row r="15" spans="1:5" ht="17" thickBot="1" x14ac:dyDescent="0.25">
      <c r="B15" s="3" t="s">
        <v>31</v>
      </c>
      <c r="C15" s="3" t="s">
        <v>32</v>
      </c>
      <c r="D15" s="3" t="s">
        <v>33</v>
      </c>
      <c r="E15" s="3" t="s">
        <v>34</v>
      </c>
    </row>
    <row r="16" spans="1:5" ht="17" thickBot="1" x14ac:dyDescent="0.25">
      <c r="B16" s="2" t="s">
        <v>102</v>
      </c>
      <c r="C16" s="2" t="s">
        <v>42</v>
      </c>
      <c r="D16" s="5">
        <v>10555750</v>
      </c>
      <c r="E16" s="5">
        <v>10534750</v>
      </c>
    </row>
    <row r="19" spans="1:6" ht="17" thickBot="1" x14ac:dyDescent="0.25">
      <c r="A19" t="s">
        <v>35</v>
      </c>
    </row>
    <row r="20" spans="1:6" ht="17" thickBot="1" x14ac:dyDescent="0.25">
      <c r="B20" s="3" t="s">
        <v>31</v>
      </c>
      <c r="C20" s="3" t="s">
        <v>32</v>
      </c>
      <c r="D20" s="3" t="s">
        <v>33</v>
      </c>
      <c r="E20" s="3" t="s">
        <v>34</v>
      </c>
      <c r="F20" s="3" t="s">
        <v>36</v>
      </c>
    </row>
    <row r="21" spans="1:6" x14ac:dyDescent="0.2">
      <c r="B21" s="4" t="s">
        <v>103</v>
      </c>
      <c r="C21" s="4" t="s">
        <v>44</v>
      </c>
      <c r="D21" s="4">
        <v>0</v>
      </c>
      <c r="E21" s="4">
        <v>0</v>
      </c>
      <c r="F21" s="4" t="s">
        <v>45</v>
      </c>
    </row>
    <row r="22" spans="1:6" x14ac:dyDescent="0.2">
      <c r="B22" s="4" t="s">
        <v>104</v>
      </c>
      <c r="C22" s="4" t="s">
        <v>47</v>
      </c>
      <c r="D22" s="4">
        <v>300</v>
      </c>
      <c r="E22" s="4">
        <v>750</v>
      </c>
      <c r="F22" s="4" t="s">
        <v>45</v>
      </c>
    </row>
    <row r="23" spans="1:6" x14ac:dyDescent="0.2">
      <c r="B23" s="4" t="s">
        <v>105</v>
      </c>
      <c r="C23" s="4" t="s">
        <v>49</v>
      </c>
      <c r="D23" s="4">
        <v>0</v>
      </c>
      <c r="E23" s="4">
        <v>0</v>
      </c>
      <c r="F23" s="4" t="s">
        <v>45</v>
      </c>
    </row>
    <row r="24" spans="1:6" x14ac:dyDescent="0.2">
      <c r="B24" s="4" t="s">
        <v>106</v>
      </c>
      <c r="C24" s="4" t="s">
        <v>50</v>
      </c>
      <c r="D24" s="4">
        <v>1400</v>
      </c>
      <c r="E24" s="4">
        <v>1250</v>
      </c>
      <c r="F24" s="4" t="s">
        <v>45</v>
      </c>
    </row>
    <row r="25" spans="1:6" x14ac:dyDescent="0.2">
      <c r="B25" s="4" t="s">
        <v>107</v>
      </c>
      <c r="C25" s="4" t="s">
        <v>51</v>
      </c>
      <c r="D25" s="4">
        <v>0</v>
      </c>
      <c r="E25" s="4">
        <v>0</v>
      </c>
      <c r="F25" s="4" t="s">
        <v>45</v>
      </c>
    </row>
    <row r="26" spans="1:6" x14ac:dyDescent="0.2">
      <c r="B26" s="4" t="s">
        <v>108</v>
      </c>
      <c r="C26" s="4" t="s">
        <v>52</v>
      </c>
      <c r="D26" s="4">
        <v>800</v>
      </c>
      <c r="E26" s="4">
        <v>350</v>
      </c>
      <c r="F26" s="4" t="s">
        <v>45</v>
      </c>
    </row>
    <row r="27" spans="1:6" x14ac:dyDescent="0.2">
      <c r="B27" s="4" t="s">
        <v>109</v>
      </c>
      <c r="C27" s="4" t="s">
        <v>53</v>
      </c>
      <c r="D27" s="4">
        <v>0</v>
      </c>
      <c r="E27" s="4">
        <v>0</v>
      </c>
      <c r="F27" s="4" t="s">
        <v>45</v>
      </c>
    </row>
    <row r="28" spans="1:6" x14ac:dyDescent="0.2">
      <c r="B28" s="4" t="s">
        <v>110</v>
      </c>
      <c r="C28" s="4" t="s">
        <v>54</v>
      </c>
      <c r="D28" s="4">
        <v>0</v>
      </c>
      <c r="E28" s="4">
        <v>0</v>
      </c>
      <c r="F28" s="4" t="s">
        <v>45</v>
      </c>
    </row>
    <row r="29" spans="1:6" x14ac:dyDescent="0.2">
      <c r="B29" s="4" t="s">
        <v>111</v>
      </c>
      <c r="C29" s="4" t="s">
        <v>56</v>
      </c>
      <c r="D29" s="4">
        <v>0</v>
      </c>
      <c r="E29" s="4">
        <v>0</v>
      </c>
      <c r="F29" s="4" t="s">
        <v>45</v>
      </c>
    </row>
    <row r="30" spans="1:6" x14ac:dyDescent="0.2">
      <c r="B30" s="4" t="s">
        <v>43</v>
      </c>
      <c r="C30" s="4" t="s">
        <v>58</v>
      </c>
      <c r="D30" s="4">
        <v>0</v>
      </c>
      <c r="E30" s="4">
        <v>0</v>
      </c>
      <c r="F30" s="4" t="s">
        <v>45</v>
      </c>
    </row>
    <row r="31" spans="1:6" x14ac:dyDescent="0.2">
      <c r="B31" s="4" t="s">
        <v>46</v>
      </c>
      <c r="C31" s="4" t="s">
        <v>60</v>
      </c>
      <c r="D31" s="4">
        <v>1550</v>
      </c>
      <c r="E31" s="4">
        <v>1550</v>
      </c>
      <c r="F31" s="4" t="s">
        <v>45</v>
      </c>
    </row>
    <row r="32" spans="1:6" x14ac:dyDescent="0.2">
      <c r="B32" s="4" t="s">
        <v>48</v>
      </c>
      <c r="C32" s="4" t="s">
        <v>61</v>
      </c>
      <c r="D32" s="4">
        <v>0</v>
      </c>
      <c r="E32" s="4">
        <v>150</v>
      </c>
      <c r="F32" s="4" t="s">
        <v>45</v>
      </c>
    </row>
    <row r="33" spans="1:7" x14ac:dyDescent="0.2">
      <c r="B33" s="4" t="s">
        <v>112</v>
      </c>
      <c r="C33" s="4" t="s">
        <v>167</v>
      </c>
      <c r="D33" s="4">
        <v>0</v>
      </c>
      <c r="E33" s="4">
        <v>0</v>
      </c>
      <c r="F33" s="4" t="s">
        <v>45</v>
      </c>
    </row>
    <row r="34" spans="1:7" x14ac:dyDescent="0.2">
      <c r="B34" s="4" t="s">
        <v>113</v>
      </c>
      <c r="C34" s="4" t="s">
        <v>168</v>
      </c>
      <c r="D34" s="4">
        <v>0</v>
      </c>
      <c r="E34" s="4">
        <v>0</v>
      </c>
      <c r="F34" s="4" t="s">
        <v>45</v>
      </c>
    </row>
    <row r="35" spans="1:7" x14ac:dyDescent="0.2">
      <c r="B35" s="4" t="s">
        <v>114</v>
      </c>
      <c r="C35" s="4" t="s">
        <v>169</v>
      </c>
      <c r="D35" s="4">
        <v>0</v>
      </c>
      <c r="E35" s="4">
        <v>0</v>
      </c>
      <c r="F35" s="4" t="s">
        <v>45</v>
      </c>
    </row>
    <row r="36" spans="1:7" x14ac:dyDescent="0.2">
      <c r="B36" s="4" t="s">
        <v>115</v>
      </c>
      <c r="C36" s="4" t="s">
        <v>170</v>
      </c>
      <c r="D36" s="4">
        <v>1200</v>
      </c>
      <c r="E36" s="4">
        <v>1200</v>
      </c>
      <c r="F36" s="4" t="s">
        <v>45</v>
      </c>
    </row>
    <row r="37" spans="1:7" x14ac:dyDescent="0.2">
      <c r="B37" s="4" t="s">
        <v>116</v>
      </c>
      <c r="C37" s="4" t="s">
        <v>171</v>
      </c>
      <c r="D37" s="4">
        <v>0</v>
      </c>
      <c r="E37" s="4">
        <v>0</v>
      </c>
      <c r="F37" s="4" t="s">
        <v>45</v>
      </c>
    </row>
    <row r="38" spans="1:7" x14ac:dyDescent="0.2">
      <c r="B38" s="4" t="s">
        <v>117</v>
      </c>
      <c r="C38" s="4" t="s">
        <v>172</v>
      </c>
      <c r="D38" s="4">
        <v>25</v>
      </c>
      <c r="E38" s="4">
        <v>25</v>
      </c>
      <c r="F38" s="4" t="s">
        <v>45</v>
      </c>
    </row>
    <row r="39" spans="1:7" x14ac:dyDescent="0.2">
      <c r="B39" s="4" t="s">
        <v>118</v>
      </c>
      <c r="C39" s="4" t="s">
        <v>173</v>
      </c>
      <c r="D39" s="4">
        <v>775</v>
      </c>
      <c r="E39" s="4">
        <v>775</v>
      </c>
      <c r="F39" s="4" t="s">
        <v>45</v>
      </c>
    </row>
    <row r="40" spans="1:7" x14ac:dyDescent="0.2">
      <c r="B40" s="4" t="s">
        <v>119</v>
      </c>
      <c r="C40" s="4" t="s">
        <v>174</v>
      </c>
      <c r="D40" s="4">
        <v>100</v>
      </c>
      <c r="E40" s="4">
        <v>99.999999999999943</v>
      </c>
      <c r="F40" s="4" t="s">
        <v>45</v>
      </c>
    </row>
    <row r="41" spans="1:7" x14ac:dyDescent="0.2">
      <c r="B41" s="4" t="s">
        <v>120</v>
      </c>
      <c r="C41" s="4" t="s">
        <v>175</v>
      </c>
      <c r="D41" s="4">
        <v>0</v>
      </c>
      <c r="E41" s="4">
        <v>0</v>
      </c>
      <c r="F41" s="4" t="s">
        <v>45</v>
      </c>
    </row>
    <row r="42" spans="1:7" x14ac:dyDescent="0.2">
      <c r="B42" s="4" t="s">
        <v>121</v>
      </c>
      <c r="C42" s="4" t="s">
        <v>176</v>
      </c>
      <c r="D42" s="4">
        <v>700</v>
      </c>
      <c r="E42" s="4">
        <v>700</v>
      </c>
      <c r="F42" s="4" t="s">
        <v>45</v>
      </c>
    </row>
    <row r="43" spans="1:7" x14ac:dyDescent="0.2">
      <c r="B43" s="4" t="s">
        <v>122</v>
      </c>
      <c r="C43" s="4" t="s">
        <v>177</v>
      </c>
      <c r="D43" s="4">
        <v>0</v>
      </c>
      <c r="E43" s="4">
        <v>0</v>
      </c>
      <c r="F43" s="4" t="s">
        <v>45</v>
      </c>
    </row>
    <row r="44" spans="1:7" ht="17" thickBot="1" x14ac:dyDescent="0.25">
      <c r="B44" s="2" t="s">
        <v>123</v>
      </c>
      <c r="C44" s="2" t="s">
        <v>178</v>
      </c>
      <c r="D44" s="2">
        <v>0</v>
      </c>
      <c r="E44" s="2">
        <v>0</v>
      </c>
      <c r="F44" s="2" t="s">
        <v>45</v>
      </c>
    </row>
    <row r="47" spans="1:7" ht="17" thickBot="1" x14ac:dyDescent="0.25">
      <c r="A47" t="s">
        <v>37</v>
      </c>
    </row>
    <row r="48" spans="1:7" ht="17" thickBot="1" x14ac:dyDescent="0.25">
      <c r="B48" s="3" t="s">
        <v>31</v>
      </c>
      <c r="C48" s="3" t="s">
        <v>32</v>
      </c>
      <c r="D48" s="3" t="s">
        <v>38</v>
      </c>
      <c r="E48" s="3" t="s">
        <v>39</v>
      </c>
      <c r="F48" s="3" t="s">
        <v>40</v>
      </c>
      <c r="G48" s="3" t="s">
        <v>41</v>
      </c>
    </row>
    <row r="49" spans="2:7" x14ac:dyDescent="0.2">
      <c r="B49" s="4" t="s">
        <v>124</v>
      </c>
      <c r="C49" s="4" t="s">
        <v>62</v>
      </c>
      <c r="D49" s="4">
        <v>0</v>
      </c>
      <c r="E49" s="4" t="s">
        <v>125</v>
      </c>
      <c r="F49" s="4" t="s">
        <v>63</v>
      </c>
      <c r="G49" s="4">
        <v>1200</v>
      </c>
    </row>
    <row r="50" spans="2:7" x14ac:dyDescent="0.2">
      <c r="B50" s="4" t="s">
        <v>55</v>
      </c>
      <c r="C50" s="4" t="s">
        <v>64</v>
      </c>
      <c r="D50" s="4">
        <v>1100</v>
      </c>
      <c r="E50" s="4" t="s">
        <v>126</v>
      </c>
      <c r="F50" s="4" t="s">
        <v>65</v>
      </c>
      <c r="G50" s="4">
        <v>0</v>
      </c>
    </row>
    <row r="51" spans="2:7" x14ac:dyDescent="0.2">
      <c r="B51" s="4" t="s">
        <v>57</v>
      </c>
      <c r="C51" s="4" t="s">
        <v>66</v>
      </c>
      <c r="D51" s="4">
        <v>1550</v>
      </c>
      <c r="E51" s="4" t="s">
        <v>127</v>
      </c>
      <c r="F51" s="4" t="s">
        <v>65</v>
      </c>
      <c r="G51" s="4">
        <v>0</v>
      </c>
    </row>
    <row r="52" spans="2:7" x14ac:dyDescent="0.2">
      <c r="B52" s="4" t="s">
        <v>59</v>
      </c>
      <c r="C52" s="4" t="s">
        <v>67</v>
      </c>
      <c r="D52" s="4">
        <v>1400</v>
      </c>
      <c r="E52" s="4" t="s">
        <v>128</v>
      </c>
      <c r="F52" s="4" t="s">
        <v>65</v>
      </c>
      <c r="G52" s="4">
        <v>0</v>
      </c>
    </row>
    <row r="53" spans="2:7" x14ac:dyDescent="0.2">
      <c r="B53" s="4" t="s">
        <v>129</v>
      </c>
      <c r="C53" s="4" t="s">
        <v>68</v>
      </c>
      <c r="D53" s="4">
        <v>2000</v>
      </c>
      <c r="E53" s="4" t="s">
        <v>130</v>
      </c>
      <c r="F53" s="4" t="s">
        <v>65</v>
      </c>
      <c r="G53" s="4">
        <v>0</v>
      </c>
    </row>
    <row r="54" spans="2:7" x14ac:dyDescent="0.2">
      <c r="B54" s="4" t="s">
        <v>131</v>
      </c>
      <c r="C54" s="4" t="s">
        <v>69</v>
      </c>
      <c r="D54" s="4">
        <v>350</v>
      </c>
      <c r="E54" s="4" t="s">
        <v>132</v>
      </c>
      <c r="F54" s="4" t="s">
        <v>63</v>
      </c>
      <c r="G54" s="4">
        <v>750</v>
      </c>
    </row>
    <row r="55" spans="2:7" x14ac:dyDescent="0.2">
      <c r="B55" s="4" t="s">
        <v>133</v>
      </c>
      <c r="C55" s="4" t="s">
        <v>70</v>
      </c>
      <c r="D55" s="4">
        <v>1700</v>
      </c>
      <c r="E55" s="4" t="s">
        <v>134</v>
      </c>
      <c r="F55" s="4" t="s">
        <v>65</v>
      </c>
      <c r="G55" s="4">
        <v>0</v>
      </c>
    </row>
    <row r="56" spans="2:7" x14ac:dyDescent="0.2">
      <c r="B56" s="4" t="s">
        <v>135</v>
      </c>
      <c r="C56" s="4" t="s">
        <v>149</v>
      </c>
      <c r="D56" s="4">
        <v>0</v>
      </c>
      <c r="E56" s="4" t="s">
        <v>136</v>
      </c>
      <c r="F56" s="4" t="s">
        <v>65</v>
      </c>
      <c r="G56" s="4">
        <v>0</v>
      </c>
    </row>
    <row r="57" spans="2:7" x14ac:dyDescent="0.2">
      <c r="B57" s="4" t="s">
        <v>137</v>
      </c>
      <c r="C57" s="4" t="s">
        <v>150</v>
      </c>
      <c r="D57" s="4">
        <v>1100</v>
      </c>
      <c r="E57" s="4" t="s">
        <v>138</v>
      </c>
      <c r="F57" s="4" t="s">
        <v>65</v>
      </c>
      <c r="G57" s="4">
        <v>0</v>
      </c>
    </row>
    <row r="58" spans="2:7" x14ac:dyDescent="0.2">
      <c r="B58" s="4" t="s">
        <v>139</v>
      </c>
      <c r="C58" s="4" t="s">
        <v>151</v>
      </c>
      <c r="D58" s="4">
        <v>1550</v>
      </c>
      <c r="E58" s="4" t="s">
        <v>140</v>
      </c>
      <c r="F58" s="4" t="s">
        <v>65</v>
      </c>
      <c r="G58" s="4">
        <v>0</v>
      </c>
    </row>
    <row r="59" spans="2:7" x14ac:dyDescent="0.2">
      <c r="B59" s="4" t="s">
        <v>141</v>
      </c>
      <c r="C59" s="4" t="s">
        <v>152</v>
      </c>
      <c r="D59" s="4">
        <v>1400</v>
      </c>
      <c r="E59" s="4" t="s">
        <v>142</v>
      </c>
      <c r="F59" s="4" t="s">
        <v>65</v>
      </c>
      <c r="G59" s="4">
        <v>0</v>
      </c>
    </row>
    <row r="60" spans="2:7" x14ac:dyDescent="0.2">
      <c r="B60" s="4" t="s">
        <v>143</v>
      </c>
      <c r="C60" s="4" t="s">
        <v>179</v>
      </c>
      <c r="D60" s="4">
        <v>1200</v>
      </c>
      <c r="E60" s="4" t="s">
        <v>154</v>
      </c>
      <c r="F60" s="4" t="s">
        <v>65</v>
      </c>
      <c r="G60" s="4">
        <v>0</v>
      </c>
    </row>
    <row r="61" spans="2:7" x14ac:dyDescent="0.2">
      <c r="B61" s="4" t="s">
        <v>144</v>
      </c>
      <c r="C61" s="4" t="s">
        <v>180</v>
      </c>
      <c r="D61" s="4">
        <v>900</v>
      </c>
      <c r="E61" s="4" t="s">
        <v>156</v>
      </c>
      <c r="F61" s="4" t="s">
        <v>65</v>
      </c>
      <c r="G61" s="4">
        <v>0</v>
      </c>
    </row>
    <row r="62" spans="2:7" ht="17" thickBot="1" x14ac:dyDescent="0.25">
      <c r="B62" s="2" t="s">
        <v>145</v>
      </c>
      <c r="C62" s="2" t="s">
        <v>181</v>
      </c>
      <c r="D62" s="2">
        <v>700</v>
      </c>
      <c r="E62" s="2" t="s">
        <v>158</v>
      </c>
      <c r="F62" s="2" t="s">
        <v>65</v>
      </c>
      <c r="G62" s="2">
        <v>0</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C6481-1D1A-F14B-A6C9-C45908408D7A}">
  <dimension ref="A1:G62"/>
  <sheetViews>
    <sheetView showGridLines="0" workbookViewId="0">
      <selection activeCell="I33" sqref="I33"/>
    </sheetView>
  </sheetViews>
  <sheetFormatPr baseColWidth="10" defaultColWidth="10.6640625" defaultRowHeight="16" x14ac:dyDescent="0.2"/>
  <cols>
    <col min="1" max="1" width="2.33203125" customWidth="1"/>
    <col min="2" max="2" width="6.6640625" bestFit="1" customWidth="1"/>
    <col min="3" max="3" width="34.1640625" bestFit="1" customWidth="1"/>
    <col min="4" max="5" width="15" bestFit="1" customWidth="1"/>
    <col min="6" max="6" width="10.5" bestFit="1" customWidth="1"/>
    <col min="7" max="7" width="5.6640625" bestFit="1" customWidth="1"/>
  </cols>
  <sheetData>
    <row r="1" spans="1:5" x14ac:dyDescent="0.2">
      <c r="A1" s="1" t="s">
        <v>24</v>
      </c>
    </row>
    <row r="2" spans="1:5" x14ac:dyDescent="0.2">
      <c r="A2" s="1" t="s">
        <v>163</v>
      </c>
    </row>
    <row r="3" spans="1:5" x14ac:dyDescent="0.2">
      <c r="A3" s="1" t="s">
        <v>193</v>
      </c>
    </row>
    <row r="4" spans="1:5" x14ac:dyDescent="0.2">
      <c r="A4" s="1" t="s">
        <v>25</v>
      </c>
    </row>
    <row r="5" spans="1:5" x14ac:dyDescent="0.2">
      <c r="A5" s="1" t="s">
        <v>26</v>
      </c>
    </row>
    <row r="6" spans="1:5" x14ac:dyDescent="0.2">
      <c r="A6" s="1"/>
      <c r="B6" t="s">
        <v>27</v>
      </c>
    </row>
    <row r="7" spans="1:5" x14ac:dyDescent="0.2">
      <c r="A7" s="1"/>
      <c r="B7" t="s">
        <v>194</v>
      </c>
    </row>
    <row r="8" spans="1:5" x14ac:dyDescent="0.2">
      <c r="A8" s="1"/>
      <c r="B8" t="s">
        <v>190</v>
      </c>
    </row>
    <row r="9" spans="1:5" x14ac:dyDescent="0.2">
      <c r="A9" s="1" t="s">
        <v>28</v>
      </c>
    </row>
    <row r="10" spans="1:5" x14ac:dyDescent="0.2">
      <c r="B10" t="s">
        <v>29</v>
      </c>
    </row>
    <row r="11" spans="1:5" x14ac:dyDescent="0.2">
      <c r="B11" t="s">
        <v>101</v>
      </c>
    </row>
    <row r="14" spans="1:5" ht="17" thickBot="1" x14ac:dyDescent="0.25">
      <c r="A14" t="s">
        <v>30</v>
      </c>
    </row>
    <row r="15" spans="1:5" ht="17" thickBot="1" x14ac:dyDescent="0.25">
      <c r="B15" s="3" t="s">
        <v>31</v>
      </c>
      <c r="C15" s="3" t="s">
        <v>32</v>
      </c>
      <c r="D15" s="3" t="s">
        <v>33</v>
      </c>
      <c r="E15" s="3" t="s">
        <v>34</v>
      </c>
    </row>
    <row r="16" spans="1:5" ht="17" thickBot="1" x14ac:dyDescent="0.25">
      <c r="B16" s="2" t="s">
        <v>102</v>
      </c>
      <c r="C16" s="2" t="s">
        <v>42</v>
      </c>
      <c r="D16" s="5">
        <v>10499750</v>
      </c>
      <c r="E16" s="5">
        <v>10499750</v>
      </c>
    </row>
    <row r="19" spans="1:6" ht="17" thickBot="1" x14ac:dyDescent="0.25">
      <c r="A19" t="s">
        <v>35</v>
      </c>
    </row>
    <row r="20" spans="1:6" ht="17" thickBot="1" x14ac:dyDescent="0.25">
      <c r="B20" s="3" t="s">
        <v>31</v>
      </c>
      <c r="C20" s="3" t="s">
        <v>32</v>
      </c>
      <c r="D20" s="3" t="s">
        <v>33</v>
      </c>
      <c r="E20" s="3" t="s">
        <v>34</v>
      </c>
      <c r="F20" s="3" t="s">
        <v>36</v>
      </c>
    </row>
    <row r="21" spans="1:6" x14ac:dyDescent="0.2">
      <c r="B21" s="4" t="s">
        <v>103</v>
      </c>
      <c r="C21" s="4" t="s">
        <v>44</v>
      </c>
      <c r="D21" s="4">
        <v>0</v>
      </c>
      <c r="E21" s="4">
        <v>0</v>
      </c>
      <c r="F21" s="4" t="s">
        <v>45</v>
      </c>
    </row>
    <row r="22" spans="1:6" x14ac:dyDescent="0.2">
      <c r="B22" s="4" t="s">
        <v>104</v>
      </c>
      <c r="C22" s="4" t="s">
        <v>47</v>
      </c>
      <c r="D22" s="4">
        <v>1100</v>
      </c>
      <c r="E22" s="4">
        <v>1100</v>
      </c>
      <c r="F22" s="4" t="s">
        <v>45</v>
      </c>
    </row>
    <row r="23" spans="1:6" x14ac:dyDescent="0.2">
      <c r="B23" s="4" t="s">
        <v>105</v>
      </c>
      <c r="C23" s="4" t="s">
        <v>49</v>
      </c>
      <c r="D23" s="4">
        <v>0</v>
      </c>
      <c r="E23" s="4">
        <v>0</v>
      </c>
      <c r="F23" s="4" t="s">
        <v>45</v>
      </c>
    </row>
    <row r="24" spans="1:6" x14ac:dyDescent="0.2">
      <c r="B24" s="4" t="s">
        <v>106</v>
      </c>
      <c r="C24" s="4" t="s">
        <v>50</v>
      </c>
      <c r="D24" s="4">
        <v>1400</v>
      </c>
      <c r="E24" s="4">
        <v>1400</v>
      </c>
      <c r="F24" s="4" t="s">
        <v>45</v>
      </c>
    </row>
    <row r="25" spans="1:6" x14ac:dyDescent="0.2">
      <c r="B25" s="4" t="s">
        <v>107</v>
      </c>
      <c r="C25" s="4" t="s">
        <v>51</v>
      </c>
      <c r="D25" s="4">
        <v>0</v>
      </c>
      <c r="E25" s="4">
        <v>0</v>
      </c>
      <c r="F25" s="4" t="s">
        <v>45</v>
      </c>
    </row>
    <row r="26" spans="1:6" x14ac:dyDescent="0.2">
      <c r="B26" s="4" t="s">
        <v>108</v>
      </c>
      <c r="C26" s="4" t="s">
        <v>52</v>
      </c>
      <c r="D26" s="4">
        <v>0</v>
      </c>
      <c r="E26" s="4">
        <v>0</v>
      </c>
      <c r="F26" s="4" t="s">
        <v>45</v>
      </c>
    </row>
    <row r="27" spans="1:6" x14ac:dyDescent="0.2">
      <c r="B27" s="4" t="s">
        <v>109</v>
      </c>
      <c r="C27" s="4" t="s">
        <v>53</v>
      </c>
      <c r="D27" s="4">
        <v>0</v>
      </c>
      <c r="E27" s="4">
        <v>0</v>
      </c>
      <c r="F27" s="4" t="s">
        <v>45</v>
      </c>
    </row>
    <row r="28" spans="1:6" x14ac:dyDescent="0.2">
      <c r="B28" s="4" t="s">
        <v>110</v>
      </c>
      <c r="C28" s="4" t="s">
        <v>54</v>
      </c>
      <c r="D28" s="4">
        <v>0</v>
      </c>
      <c r="E28" s="4">
        <v>0</v>
      </c>
      <c r="F28" s="4" t="s">
        <v>45</v>
      </c>
    </row>
    <row r="29" spans="1:6" x14ac:dyDescent="0.2">
      <c r="B29" s="4" t="s">
        <v>111</v>
      </c>
      <c r="C29" s="4" t="s">
        <v>56</v>
      </c>
      <c r="D29" s="4">
        <v>0</v>
      </c>
      <c r="E29" s="4">
        <v>0</v>
      </c>
      <c r="F29" s="4" t="s">
        <v>45</v>
      </c>
    </row>
    <row r="30" spans="1:6" x14ac:dyDescent="0.2">
      <c r="B30" s="4" t="s">
        <v>43</v>
      </c>
      <c r="C30" s="4" t="s">
        <v>58</v>
      </c>
      <c r="D30" s="4">
        <v>0</v>
      </c>
      <c r="E30" s="4">
        <v>0</v>
      </c>
      <c r="F30" s="4" t="s">
        <v>45</v>
      </c>
    </row>
    <row r="31" spans="1:6" x14ac:dyDescent="0.2">
      <c r="B31" s="4" t="s">
        <v>46</v>
      </c>
      <c r="C31" s="4" t="s">
        <v>60</v>
      </c>
      <c r="D31" s="4">
        <v>1550</v>
      </c>
      <c r="E31" s="4">
        <v>1550</v>
      </c>
      <c r="F31" s="4" t="s">
        <v>45</v>
      </c>
    </row>
    <row r="32" spans="1:6" x14ac:dyDescent="0.2">
      <c r="B32" s="4" t="s">
        <v>48</v>
      </c>
      <c r="C32" s="4" t="s">
        <v>61</v>
      </c>
      <c r="D32" s="4">
        <v>0</v>
      </c>
      <c r="E32" s="4">
        <v>0</v>
      </c>
      <c r="F32" s="4" t="s">
        <v>45</v>
      </c>
    </row>
    <row r="33" spans="1:7" x14ac:dyDescent="0.2">
      <c r="B33" s="4" t="s">
        <v>112</v>
      </c>
      <c r="C33" s="4" t="s">
        <v>167</v>
      </c>
      <c r="D33" s="4">
        <v>0</v>
      </c>
      <c r="E33" s="4">
        <v>0</v>
      </c>
      <c r="F33" s="4" t="s">
        <v>45</v>
      </c>
    </row>
    <row r="34" spans="1:7" x14ac:dyDescent="0.2">
      <c r="B34" s="4" t="s">
        <v>113</v>
      </c>
      <c r="C34" s="4" t="s">
        <v>168</v>
      </c>
      <c r="D34" s="4">
        <v>0</v>
      </c>
      <c r="E34" s="4">
        <v>0</v>
      </c>
      <c r="F34" s="4" t="s">
        <v>45</v>
      </c>
    </row>
    <row r="35" spans="1:7" x14ac:dyDescent="0.2">
      <c r="B35" s="4" t="s">
        <v>114</v>
      </c>
      <c r="C35" s="4" t="s">
        <v>169</v>
      </c>
      <c r="D35" s="4">
        <v>0</v>
      </c>
      <c r="E35" s="4">
        <v>0</v>
      </c>
      <c r="F35" s="4" t="s">
        <v>45</v>
      </c>
    </row>
    <row r="36" spans="1:7" x14ac:dyDescent="0.2">
      <c r="B36" s="4" t="s">
        <v>115</v>
      </c>
      <c r="C36" s="4" t="s">
        <v>170</v>
      </c>
      <c r="D36" s="4">
        <v>1200</v>
      </c>
      <c r="E36" s="4">
        <v>1200</v>
      </c>
      <c r="F36" s="4" t="s">
        <v>45</v>
      </c>
    </row>
    <row r="37" spans="1:7" x14ac:dyDescent="0.2">
      <c r="B37" s="4" t="s">
        <v>116</v>
      </c>
      <c r="C37" s="4" t="s">
        <v>171</v>
      </c>
      <c r="D37" s="4">
        <v>0</v>
      </c>
      <c r="E37" s="4">
        <v>0</v>
      </c>
      <c r="F37" s="4" t="s">
        <v>45</v>
      </c>
    </row>
    <row r="38" spans="1:7" x14ac:dyDescent="0.2">
      <c r="B38" s="4" t="s">
        <v>117</v>
      </c>
      <c r="C38" s="4" t="s">
        <v>172</v>
      </c>
      <c r="D38" s="4">
        <v>25</v>
      </c>
      <c r="E38" s="4">
        <v>25</v>
      </c>
      <c r="F38" s="4" t="s">
        <v>45</v>
      </c>
    </row>
    <row r="39" spans="1:7" x14ac:dyDescent="0.2">
      <c r="B39" s="4" t="s">
        <v>118</v>
      </c>
      <c r="C39" s="4" t="s">
        <v>173</v>
      </c>
      <c r="D39" s="4">
        <v>775</v>
      </c>
      <c r="E39" s="4">
        <v>775</v>
      </c>
      <c r="F39" s="4" t="s">
        <v>45</v>
      </c>
    </row>
    <row r="40" spans="1:7" x14ac:dyDescent="0.2">
      <c r="B40" s="4" t="s">
        <v>119</v>
      </c>
      <c r="C40" s="4" t="s">
        <v>174</v>
      </c>
      <c r="D40" s="4">
        <v>100</v>
      </c>
      <c r="E40" s="4">
        <v>100</v>
      </c>
      <c r="F40" s="4" t="s">
        <v>45</v>
      </c>
    </row>
    <row r="41" spans="1:7" x14ac:dyDescent="0.2">
      <c r="B41" s="4" t="s">
        <v>120</v>
      </c>
      <c r="C41" s="4" t="s">
        <v>175</v>
      </c>
      <c r="D41" s="4">
        <v>0</v>
      </c>
      <c r="E41" s="4">
        <v>0</v>
      </c>
      <c r="F41" s="4" t="s">
        <v>45</v>
      </c>
    </row>
    <row r="42" spans="1:7" x14ac:dyDescent="0.2">
      <c r="B42" s="4" t="s">
        <v>121</v>
      </c>
      <c r="C42" s="4" t="s">
        <v>176</v>
      </c>
      <c r="D42" s="4">
        <v>699.99999999999989</v>
      </c>
      <c r="E42" s="4">
        <v>699.99999999999989</v>
      </c>
      <c r="F42" s="4" t="s">
        <v>45</v>
      </c>
    </row>
    <row r="43" spans="1:7" x14ac:dyDescent="0.2">
      <c r="B43" s="4" t="s">
        <v>122</v>
      </c>
      <c r="C43" s="4" t="s">
        <v>177</v>
      </c>
      <c r="D43" s="4">
        <v>0</v>
      </c>
      <c r="E43" s="4">
        <v>0</v>
      </c>
      <c r="F43" s="4" t="s">
        <v>45</v>
      </c>
    </row>
    <row r="44" spans="1:7" ht="17" thickBot="1" x14ac:dyDescent="0.25">
      <c r="B44" s="2" t="s">
        <v>123</v>
      </c>
      <c r="C44" s="2" t="s">
        <v>178</v>
      </c>
      <c r="D44" s="2">
        <v>0</v>
      </c>
      <c r="E44" s="2">
        <v>0</v>
      </c>
      <c r="F44" s="2" t="s">
        <v>45</v>
      </c>
    </row>
    <row r="47" spans="1:7" ht="17" thickBot="1" x14ac:dyDescent="0.25">
      <c r="A47" t="s">
        <v>37</v>
      </c>
    </row>
    <row r="48" spans="1:7" ht="17" thickBot="1" x14ac:dyDescent="0.25">
      <c r="B48" s="3" t="s">
        <v>31</v>
      </c>
      <c r="C48" s="3" t="s">
        <v>32</v>
      </c>
      <c r="D48" s="3" t="s">
        <v>38</v>
      </c>
      <c r="E48" s="3" t="s">
        <v>39</v>
      </c>
      <c r="F48" s="3" t="s">
        <v>40</v>
      </c>
      <c r="G48" s="3" t="s">
        <v>41</v>
      </c>
    </row>
    <row r="49" spans="2:7" x14ac:dyDescent="0.2">
      <c r="B49" s="4" t="s">
        <v>124</v>
      </c>
      <c r="C49" s="4" t="s">
        <v>62</v>
      </c>
      <c r="D49" s="4">
        <v>0</v>
      </c>
      <c r="E49" s="4" t="s">
        <v>125</v>
      </c>
      <c r="F49" s="4" t="s">
        <v>63</v>
      </c>
      <c r="G49" s="4">
        <v>1200</v>
      </c>
    </row>
    <row r="50" spans="2:7" x14ac:dyDescent="0.2">
      <c r="B50" s="4" t="s">
        <v>55</v>
      </c>
      <c r="C50" s="4" t="s">
        <v>64</v>
      </c>
      <c r="D50" s="4">
        <v>1100</v>
      </c>
      <c r="E50" s="4" t="s">
        <v>126</v>
      </c>
      <c r="F50" s="4" t="s">
        <v>65</v>
      </c>
      <c r="G50" s="4">
        <v>0</v>
      </c>
    </row>
    <row r="51" spans="2:7" x14ac:dyDescent="0.2">
      <c r="B51" s="4" t="s">
        <v>57</v>
      </c>
      <c r="C51" s="4" t="s">
        <v>66</v>
      </c>
      <c r="D51" s="4">
        <v>1550</v>
      </c>
      <c r="E51" s="4" t="s">
        <v>127</v>
      </c>
      <c r="F51" s="4" t="s">
        <v>65</v>
      </c>
      <c r="G51" s="4">
        <v>0</v>
      </c>
    </row>
    <row r="52" spans="2:7" x14ac:dyDescent="0.2">
      <c r="B52" s="4" t="s">
        <v>59</v>
      </c>
      <c r="C52" s="4" t="s">
        <v>67</v>
      </c>
      <c r="D52" s="4">
        <v>1400</v>
      </c>
      <c r="E52" s="4" t="s">
        <v>128</v>
      </c>
      <c r="F52" s="4" t="s">
        <v>65</v>
      </c>
      <c r="G52" s="4">
        <v>0</v>
      </c>
    </row>
    <row r="53" spans="2:7" x14ac:dyDescent="0.2">
      <c r="B53" s="4" t="s">
        <v>129</v>
      </c>
      <c r="C53" s="4" t="s">
        <v>68</v>
      </c>
      <c r="D53" s="4">
        <v>2500</v>
      </c>
      <c r="E53" s="4" t="s">
        <v>130</v>
      </c>
      <c r="F53" s="4" t="s">
        <v>63</v>
      </c>
      <c r="G53" s="4">
        <v>100</v>
      </c>
    </row>
    <row r="54" spans="2:7" x14ac:dyDescent="0.2">
      <c r="B54" s="4" t="s">
        <v>131</v>
      </c>
      <c r="C54" s="4" t="s">
        <v>69</v>
      </c>
      <c r="D54" s="4">
        <v>0</v>
      </c>
      <c r="E54" s="4" t="s">
        <v>132</v>
      </c>
      <c r="F54" s="4" t="s">
        <v>63</v>
      </c>
      <c r="G54" s="4">
        <v>1100</v>
      </c>
    </row>
    <row r="55" spans="2:7" x14ac:dyDescent="0.2">
      <c r="B55" s="4" t="s">
        <v>133</v>
      </c>
      <c r="C55" s="4" t="s">
        <v>70</v>
      </c>
      <c r="D55" s="4">
        <v>1550</v>
      </c>
      <c r="E55" s="4" t="s">
        <v>134</v>
      </c>
      <c r="F55" s="4" t="s">
        <v>63</v>
      </c>
      <c r="G55" s="4">
        <v>150</v>
      </c>
    </row>
    <row r="56" spans="2:7" x14ac:dyDescent="0.2">
      <c r="B56" s="4" t="s">
        <v>135</v>
      </c>
      <c r="C56" s="4" t="s">
        <v>149</v>
      </c>
      <c r="D56" s="4">
        <v>0</v>
      </c>
      <c r="E56" s="4" t="s">
        <v>136</v>
      </c>
      <c r="F56" s="4" t="s">
        <v>65</v>
      </c>
      <c r="G56" s="4">
        <v>0</v>
      </c>
    </row>
    <row r="57" spans="2:7" x14ac:dyDescent="0.2">
      <c r="B57" s="4" t="s">
        <v>137</v>
      </c>
      <c r="C57" s="4" t="s">
        <v>150</v>
      </c>
      <c r="D57" s="4">
        <v>1099.9999999999998</v>
      </c>
      <c r="E57" s="4" t="s">
        <v>138</v>
      </c>
      <c r="F57" s="4" t="s">
        <v>65</v>
      </c>
      <c r="G57" s="4">
        <v>0</v>
      </c>
    </row>
    <row r="58" spans="2:7" x14ac:dyDescent="0.2">
      <c r="B58" s="4" t="s">
        <v>139</v>
      </c>
      <c r="C58" s="4" t="s">
        <v>151</v>
      </c>
      <c r="D58" s="4">
        <v>1550</v>
      </c>
      <c r="E58" s="4" t="s">
        <v>140</v>
      </c>
      <c r="F58" s="4" t="s">
        <v>65</v>
      </c>
      <c r="G58" s="4">
        <v>0</v>
      </c>
    </row>
    <row r="59" spans="2:7" x14ac:dyDescent="0.2">
      <c r="B59" s="4" t="s">
        <v>141</v>
      </c>
      <c r="C59" s="4" t="s">
        <v>152</v>
      </c>
      <c r="D59" s="4">
        <v>1400</v>
      </c>
      <c r="E59" s="4" t="s">
        <v>142</v>
      </c>
      <c r="F59" s="4" t="s">
        <v>65</v>
      </c>
      <c r="G59" s="4">
        <v>0</v>
      </c>
    </row>
    <row r="60" spans="2:7" x14ac:dyDescent="0.2">
      <c r="B60" s="4" t="s">
        <v>143</v>
      </c>
      <c r="C60" s="4" t="s">
        <v>179</v>
      </c>
      <c r="D60" s="4">
        <v>1200</v>
      </c>
      <c r="E60" s="4" t="s">
        <v>154</v>
      </c>
      <c r="F60" s="4" t="s">
        <v>65</v>
      </c>
      <c r="G60" s="4">
        <v>0</v>
      </c>
    </row>
    <row r="61" spans="2:7" x14ac:dyDescent="0.2">
      <c r="B61" s="4" t="s">
        <v>144</v>
      </c>
      <c r="C61" s="4" t="s">
        <v>180</v>
      </c>
      <c r="D61" s="4">
        <v>900</v>
      </c>
      <c r="E61" s="4" t="s">
        <v>156</v>
      </c>
      <c r="F61" s="4" t="s">
        <v>65</v>
      </c>
      <c r="G61" s="4">
        <v>0</v>
      </c>
    </row>
    <row r="62" spans="2:7" ht="17" thickBot="1" x14ac:dyDescent="0.25">
      <c r="B62" s="2" t="s">
        <v>145</v>
      </c>
      <c r="C62" s="2" t="s">
        <v>181</v>
      </c>
      <c r="D62" s="2">
        <v>699.99999999999989</v>
      </c>
      <c r="E62" s="2" t="s">
        <v>158</v>
      </c>
      <c r="F62" s="2" t="s">
        <v>65</v>
      </c>
      <c r="G62" s="2">
        <v>0</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D45-7883-1141-93D0-B74F21A38912}">
  <dimension ref="A1:B4"/>
  <sheetViews>
    <sheetView tabSelected="1" workbookViewId="0">
      <selection activeCell="D17" sqref="D17"/>
    </sheetView>
  </sheetViews>
  <sheetFormatPr baseColWidth="10" defaultRowHeight="16" x14ac:dyDescent="0.2"/>
  <cols>
    <col min="1" max="1" width="13.83203125" bestFit="1" customWidth="1"/>
    <col min="2" max="2" width="15" bestFit="1" customWidth="1"/>
  </cols>
  <sheetData>
    <row r="1" spans="1:2" x14ac:dyDescent="0.2">
      <c r="A1" s="40" t="s">
        <v>206</v>
      </c>
    </row>
    <row r="3" spans="1:2" ht="17" thickBot="1" x14ac:dyDescent="0.25">
      <c r="A3" s="40" t="s">
        <v>207</v>
      </c>
      <c r="B3" s="5">
        <v>10606000</v>
      </c>
    </row>
    <row r="4" spans="1:2" ht="17" thickBot="1" x14ac:dyDescent="0.25">
      <c r="A4" s="40" t="s">
        <v>208</v>
      </c>
      <c r="B4" s="5">
        <v>10499750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Objective and Constraints</vt:lpstr>
      <vt:lpstr>Model A</vt:lpstr>
      <vt:lpstr>Sensitivity Report A</vt:lpstr>
      <vt:lpstr> Answer Report A</vt:lpstr>
      <vt:lpstr>Model B</vt:lpstr>
      <vt:lpstr>Answer Report B</vt:lpstr>
      <vt:lpstr>Analysis Answer Report 1</vt:lpstr>
      <vt:lpstr>Analysis Answer Report 2</vt:lpstr>
      <vt:lpstr>Analysis Answer Report 3</vt:lpstr>
      <vt:lpstr>Analysis Answer Report 4</vt:lpstr>
      <vt:lpstr>Analysis Answer Report 5</vt:lpstr>
      <vt:lpstr>Analysis Answer Report 6</vt:lpstr>
      <vt:lpstr>Graph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Cramb, Liana</dc:creator>
  <cp:lastModifiedBy>Cramb, Liana</cp:lastModifiedBy>
  <dcterms:created xsi:type="dcterms:W3CDTF">2025-04-24T18:46:02Z</dcterms:created>
  <dcterms:modified xsi:type="dcterms:W3CDTF">2025-05-07T21:44:52Z</dcterms:modified>
</cp:coreProperties>
</file>